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eff8d7da9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e004d5c0544f1e"/>
    <x:sheet xmlns:r="http://schemas.openxmlformats.org/officeDocument/2006/relationships" name="Test Cases" sheetId="2" r:id="R17a3b679f6854d42"/>
    <x:sheet xmlns:r="http://schemas.openxmlformats.org/officeDocument/2006/relationships" name="Test Data" sheetId="3" r:id="R06fb87e1bbc64f37"/>
    <x:sheet xmlns:r="http://schemas.openxmlformats.org/officeDocument/2006/relationships" name="Traceability" sheetId="4" r:id="Rb58ac40b495d4013"/>
    <x:sheet xmlns:r="http://schemas.openxmlformats.org/officeDocument/2006/relationships" name="Execution Log" sheetId="5" r:id="R4dd637a011c84304"/>
    <x:sheet xmlns:r="http://schemas.openxmlformats.org/officeDocument/2006/relationships" name="Defect Log" sheetId="6" r:id="R03908c4fbdf545aa"/>
    <x:sheet xmlns:r="http://schemas.openxmlformats.org/officeDocument/2006/relationships" name="Read Me" sheetId="7" r:id="R3e07c67ea803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b/>
      <x:sz val="11"/>
      <x:color rgb="FFFFFFFF"/>
      <x:name val="Arial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b/>
      <x:sz val="12"/>
      <x:color rgb="FF1F4E78"/>
      <x:name val="Arial"/>
    </x:font>
    <x:font>
      <x:b/>
      <x:sz val="11"/>
      <x:color rgb="FF1F4E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4ccbddbb2493a" /><Relationship Type="http://schemas.openxmlformats.org/officeDocument/2006/relationships/theme" Target="/xl/theme/theme1.xml" Id="R0634366fec1b46cd" /><Relationship Type="http://schemas.openxmlformats.org/officeDocument/2006/relationships/sharedStrings" Target="/xl/sharedStrings.xml" Id="Rbd4d01bfefd84687" /><Relationship Type="http://schemas.openxmlformats.org/officeDocument/2006/relationships/worksheet" Target="/xl/worksheets/sheet1.xml" Id="R4fe004d5c0544f1e" /><Relationship Type="http://schemas.openxmlformats.org/officeDocument/2006/relationships/worksheet" Target="/xl/worksheets/sheet2.xml" Id="R17a3b679f6854d42" /><Relationship Type="http://schemas.openxmlformats.org/officeDocument/2006/relationships/worksheet" Target="/xl/worksheets/sheet3.xml" Id="R06fb87e1bbc64f37" /><Relationship Type="http://schemas.openxmlformats.org/officeDocument/2006/relationships/worksheet" Target="/xl/worksheets/sheet4.xml" Id="Rb58ac40b495d4013" /><Relationship Type="http://schemas.openxmlformats.org/officeDocument/2006/relationships/worksheet" Target="/xl/worksheets/sheet5.xml" Id="R4dd637a011c84304" /><Relationship Type="http://schemas.openxmlformats.org/officeDocument/2006/relationships/worksheet" Target="/xl/worksheets/sheet6.xml" Id="R03908c4fbdf545aa" /><Relationship Type="http://schemas.openxmlformats.org/officeDocument/2006/relationships/worksheet" Target="/xl/worksheets/sheet7.xml" Id="R3e07c67ea80340f4" /></Relationships>
</file>

<file path=xl/tables/table1.xml><?xml version="1.0" encoding="utf-8"?>
<x:table xmlns:x="http://schemas.openxmlformats.org/spreadsheetml/2006/main" id="1" name="TestCasesTable" displayName="TestCasesTable" ref="A1:T133" headerRowCount="1" totalsRowCount="0" totalsRowShown="0">
  <x:tableColumns count="20">
    <x:tableColumn id="1" name="Test Case ID"/>
    <x:tableColumn id="2" name="Source"/>
    <x:tableColumn id="3" name="Module"/>
    <x:tableColumn id="4" name="Submodule"/>
    <x:tableColumn id="5" name="Scenario"/>
    <x:tableColumn id="6" name="Test Type"/>
    <x:tableColumn id="7" name="Priority"/>
    <x:tableColumn id="8" name="Actor"/>
    <x:tableColumn id="9" name="Preconditions"/>
    <x:tableColumn id="10" name="Test Data"/>
    <x:tableColumn id="11" name="Steps"/>
    <x:tableColumn id="12" name="Expected Result"/>
    <x:tableColumn id="13" name="Business Rule / Requirement"/>
    <x:tableColumn id="14" name="Status"/>
    <x:tableColumn id="15" name="Tester"/>
    <x:tableColumn id="16" name="Execution Date"/>
    <x:tableColumn id="17" name="Actual Result"/>
    <x:tableColumn id="18" name="Evidence"/>
    <x:tableColumn id="19" name="Defect ID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DataTable" displayName="TestDataTable" ref="A1:G24" headerRowCount="1" totalsRowCount="0" totalsRowShown="0">
  <x:tableColumns count="7">
    <x:tableColumn id="1" name="Data ID"/>
    <x:tableColumn id="2" name="Category"/>
    <x:tableColumn id="3" name="Role/Type"/>
    <x:tableColumn id="4" name="Value or Description"/>
    <x:tableColumn id="5" name="Usage"/>
    <x:tableColumn id="6" name="Expected Setup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G26" headerRowCount="1" totalsRowCount="0" totalsRowShown="0">
  <x:tableColumns count="7">
    <x:tableColumn id="1" name="Requirement ID"/>
    <x:tableColumn id="2" name="Requirement / Rule"/>
    <x:tableColumn id="3" name="Source Document"/>
    <x:tableColumn id="4" name="Source Scenario"/>
    <x:tableColumn id="5" name="Covered Test Cases"/>
    <x:tableColumn id="6" name="Coverage"/>
    <x:tableColumn id="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ecutionTable" displayName="ExecutionTable" ref="A1:K133" headerRowCount="1" totalsRowCount="0" totalsRowShown="0">
  <x:tableColumns count="11">
    <x:tableColumn id="1" name="Execution ID"/>
    <x:tableColumn id="2" name="Test Case ID"/>
    <x:tableColumn id="3" name="Cycle"/>
    <x:tableColumn id="4" name="Tester"/>
    <x:tableColumn id="5" name="Execution Date"/>
    <x:tableColumn id="6" name="Environment"/>
    <x:tableColumn id="7" name="Status"/>
    <x:tableColumn id="8" name="Actual Result"/>
    <x:tableColumn id="9" name="Evidence"/>
    <x:tableColumn id="10" name="Defect ID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fectTable" displayName="DefectTable" ref="A1:O21" headerRowCount="1" totalsRowCount="0" totalsRowShown="0">
  <x:tableColumns count="15">
    <x:tableColumn id="1" name="Defect ID"/>
    <x:tableColumn id="2" name="Linked Test Case(s)"/>
    <x:tableColumn id="3" name="Module"/>
    <x:tableColumn id="4" name="Severity"/>
    <x:tableColumn id="5" name="Summary"/>
    <x:tableColumn id="6" name="Steps to Reproduce"/>
    <x:tableColumn id="7" name="Expected Result"/>
    <x:tableColumn id="8" name="Actual Result"/>
    <x:tableColumn id="9" name="Environment"/>
    <x:tableColumn id="10" name="Status"/>
    <x:tableColumn id="11" name="Owner"/>
    <x:tableColumn id="12" name="Created Date"/>
    <x:tableColumn id="13" name="Fixed Date"/>
    <x:tableColumn id="14" name="Retest Result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9ed23b3f7745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90eb7fec6f4b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8c78c136014a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3b09f2b0f648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86a9e1a23e488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46" hidden="0" customWidth="1"/>
    <x:col min="3" max="3" width="20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0" customHeight="1">
      <x:c r="A1" s="21" t="str">
        <x:v>Test Case Uji Fungsi LMS</x:v>
      </x:c>
      <x:c r="B1" s="21"/>
      <x:c r="C1" s="21"/>
      <x:c r="D1" s="21"/>
      <x:c r="E1" s="21"/>
      <x:c r="F1" s="21"/>
      <x:c r="G1" s="21"/>
      <x:c r="H1" s="21"/>
      <x:c r="I1" s="33"/>
    </x:row>
    <x:row r="2" ht="24" customHeight="1">
      <x:c r="A2" s="34" t="str">
        <x:v>Cakupan peserta, Admin, Pemateri, dan pengujian lintas fungsi berdasarkan tiga dokumen skenario uji fungsi</x:v>
      </x:c>
      <x:c r="B2" s="34"/>
      <x:c r="C2" s="34"/>
      <x:c r="D2" s="34"/>
      <x:c r="E2" s="34"/>
      <x:c r="F2" s="34"/>
      <x:c r="G2" s="34"/>
      <x:c r="H2" s="34"/>
      <x:c r="I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</x:row>
    <x:row r="4">
      <x:c r="A4" s="27" t="str">
        <x:v>Ringkasan</x:v>
      </x:c>
      <x:c r="B4" s="27" t="str">
        <x:v>Nilai</x:v>
      </x:c>
      <x:c r="C4" s="33"/>
      <x:c r="D4" s="27" t="str">
        <x:v>Module</x:v>
      </x:c>
      <x:c r="E4" s="27" t="str">
        <x:v>Total</x:v>
      </x:c>
      <x:c r="F4" s="27" t="str">
        <x:v>Not Run</x:v>
      </x:c>
      <x:c r="G4" s="27" t="str">
        <x:v>Pass</x:v>
      </x:c>
      <x:c r="H4" s="27" t="str">
        <x:v>Fail</x:v>
      </x:c>
      <x:c r="I4" s="27" t="str">
        <x:v>Blocked</x:v>
      </x:c>
    </x:row>
    <x:row r="5">
      <x:c r="A5" s="24" t="str">
        <x:v>Total test case</x:v>
      </x:c>
      <x:c r="B5" s="28" t="n">
        <x:f>COUNTA('Test Cases'!$A$2:$A$133)</x:f>
        <x:v>132</x:v>
      </x:c>
      <x:c r="C5" s="33"/>
      <x:c r="D5" s="24" t="str">
        <x:v>Authentication</x:v>
      </x:c>
      <x:c r="E5" s="29" t="n">
        <x:f>COUNTIFS('Test Cases'!$C$2:$C$133,D5)</x:f>
        <x:v>12</x:v>
      </x:c>
      <x:c r="F5" s="29" t="n">
        <x:f>COUNTIFS('Test Cases'!$C$2:$C$133,D5,'Test Cases'!$N$2:$N$133,"Not Run")</x:f>
        <x:v>12</x:v>
      </x:c>
      <x:c r="G5" s="29" t="n">
        <x:f>COUNTIFS('Test Cases'!$C$2:$C$133,D5,'Test Cases'!$N$2:$N$133,"Pass")</x:f>
        <x:v>0</x:v>
      </x:c>
      <x:c r="H5" s="29" t="n">
        <x:f>COUNTIFS('Test Cases'!$C$2:$C$133,D5,'Test Cases'!$N$2:$N$133,"Fail")</x:f>
        <x:v>0</x:v>
      </x:c>
      <x:c r="I5" s="29" t="n">
        <x:f>COUNTIFS('Test Cases'!$C$2:$C$133,D5,'Test Cases'!$N$2:$N$133,"Blocked")</x:f>
        <x:v>0</x:v>
      </x:c>
    </x:row>
    <x:row r="6">
      <x:c r="A6" s="24" t="str">
        <x:v>Critical</x:v>
      </x:c>
      <x:c r="B6" s="28" t="n">
        <x:f>COUNTIFS('Test Cases'!$G$2:$G$133,"Critical")</x:f>
        <x:v>32</x:v>
      </x:c>
      <x:c r="C6" s="33"/>
      <x:c r="D6" s="24" t="str">
        <x:v>Course Access</x:v>
      </x:c>
      <x:c r="E6" s="29" t="n">
        <x:f>COUNTIFS('Test Cases'!$C$2:$C$133,D6)</x:f>
        <x:v>10</x:v>
      </x:c>
      <x:c r="F6" s="29" t="n">
        <x:f>COUNTIFS('Test Cases'!$C$2:$C$133,D6,'Test Cases'!$N$2:$N$133,"Not Run")</x:f>
        <x:v>10</x:v>
      </x:c>
      <x:c r="G6" s="29" t="n">
        <x:f>COUNTIFS('Test Cases'!$C$2:$C$133,D6,'Test Cases'!$N$2:$N$133,"Pass")</x:f>
        <x:v>0</x:v>
      </x:c>
      <x:c r="H6" s="29" t="n">
        <x:f>COUNTIFS('Test Cases'!$C$2:$C$133,D6,'Test Cases'!$N$2:$N$133,"Fail")</x:f>
        <x:v>0</x:v>
      </x:c>
      <x:c r="I6" s="29" t="n">
        <x:f>COUNTIFS('Test Cases'!$C$2:$C$133,D6,'Test Cases'!$N$2:$N$133,"Blocked")</x:f>
        <x:v>0</x:v>
      </x:c>
    </x:row>
    <x:row r="7">
      <x:c r="A7" s="24" t="str">
        <x:v>High</x:v>
      </x:c>
      <x:c r="B7" s="28" t="n">
        <x:f>COUNTIFS('Test Cases'!$G$2:$G$133,"High")</x:f>
        <x:v>66</x:v>
      </x:c>
      <x:c r="C7" s="33"/>
      <x:c r="D7" s="24" t="str">
        <x:v>Learning Activities</x:v>
      </x:c>
      <x:c r="E7" s="29" t="n">
        <x:f>COUNTIFS('Test Cases'!$C$2:$C$133,D7)</x:f>
        <x:v>18</x:v>
      </x:c>
      <x:c r="F7" s="29" t="n">
        <x:f>COUNTIFS('Test Cases'!$C$2:$C$133,D7,'Test Cases'!$N$2:$N$133,"Not Run")</x:f>
        <x:v>18</x:v>
      </x:c>
      <x:c r="G7" s="29" t="n">
        <x:f>COUNTIFS('Test Cases'!$C$2:$C$133,D7,'Test Cases'!$N$2:$N$133,"Pass")</x:f>
        <x:v>0</x:v>
      </x:c>
      <x:c r="H7" s="29" t="n">
        <x:f>COUNTIFS('Test Cases'!$C$2:$C$133,D7,'Test Cases'!$N$2:$N$133,"Fail")</x:f>
        <x:v>0</x:v>
      </x:c>
      <x:c r="I7" s="29" t="n">
        <x:f>COUNTIFS('Test Cases'!$C$2:$C$133,D7,'Test Cases'!$N$2:$N$133,"Blocked")</x:f>
        <x:v>0</x:v>
      </x:c>
    </x:row>
    <x:row r="8">
      <x:c r="A8" s="24" t="str">
        <x:v>Medium</x:v>
      </x:c>
      <x:c r="B8" s="28" t="n">
        <x:f>COUNTIFS('Test Cases'!$G$2:$G$133,"Medium")</x:f>
        <x:v>34</x:v>
      </x:c>
      <x:c r="C8" s="33"/>
      <x:c r="D8" s="24" t="str">
        <x:v>Assignment</x:v>
      </x:c>
      <x:c r="E8" s="29" t="n">
        <x:f>COUNTIFS('Test Cases'!$C$2:$C$133,D8)</x:f>
        <x:v>10</x:v>
      </x:c>
      <x:c r="F8" s="29" t="n">
        <x:f>COUNTIFS('Test Cases'!$C$2:$C$133,D8,'Test Cases'!$N$2:$N$133,"Not Run")</x:f>
        <x:v>10</x:v>
      </x:c>
      <x:c r="G8" s="29" t="n">
        <x:f>COUNTIFS('Test Cases'!$C$2:$C$133,D8,'Test Cases'!$N$2:$N$133,"Pass")</x:f>
        <x:v>0</x:v>
      </x:c>
      <x:c r="H8" s="29" t="n">
        <x:f>COUNTIFS('Test Cases'!$C$2:$C$133,D8,'Test Cases'!$N$2:$N$133,"Fail")</x:f>
        <x:v>0</x:v>
      </x:c>
      <x:c r="I8" s="29" t="n">
        <x:f>COUNTIFS('Test Cases'!$C$2:$C$133,D8,'Test Cases'!$N$2:$N$133,"Blocked")</x:f>
        <x:v>0</x:v>
      </x:c>
    </x:row>
    <x:row r="9">
      <x:c r="A9" s="24" t="str">
        <x:v>Low</x:v>
      </x:c>
      <x:c r="B9" s="28" t="n">
        <x:f>COUNTIFS('Test Cases'!$G$2:$G$133,"Low")</x:f>
        <x:v>0</x:v>
      </x:c>
      <x:c r="C9" s="33"/>
      <x:c r="D9" s="24" t="str">
        <x:v>Post-Test and Reset</x:v>
      </x:c>
      <x:c r="E9" s="29" t="n">
        <x:f>COUNTIFS('Test Cases'!$C$2:$C$133,D9)</x:f>
        <x:v>12</x:v>
      </x:c>
      <x:c r="F9" s="29" t="n">
        <x:f>COUNTIFS('Test Cases'!$C$2:$C$133,D9,'Test Cases'!$N$2:$N$133,"Not Run")</x:f>
        <x:v>12</x:v>
      </x:c>
      <x:c r="G9" s="29" t="n">
        <x:f>COUNTIFS('Test Cases'!$C$2:$C$133,D9,'Test Cases'!$N$2:$N$133,"Pass")</x:f>
        <x:v>0</x:v>
      </x:c>
      <x:c r="H9" s="29" t="n">
        <x:f>COUNTIFS('Test Cases'!$C$2:$C$133,D9,'Test Cases'!$N$2:$N$133,"Fail")</x:f>
        <x:v>0</x:v>
      </x:c>
      <x:c r="I9" s="29" t="n">
        <x:f>COUNTIFS('Test Cases'!$C$2:$C$133,D9,'Test Cases'!$N$2:$N$133,"Blocked")</x:f>
        <x:v>0</x:v>
      </x:c>
    </x:row>
    <x:row r="10">
      <x:c r="A10" s="24" t="str">
        <x:v>Not Run</x:v>
      </x:c>
      <x:c r="B10" s="28" t="n">
        <x:f>COUNTIFS('Test Cases'!$N$2:$N$133,"Not Run")</x:f>
        <x:v>132</x:v>
      </x:c>
      <x:c r="C10" s="33"/>
      <x:c r="D10" s="24" t="str">
        <x:v>Certificate</x:v>
      </x:c>
      <x:c r="E10" s="29" t="n">
        <x:f>COUNTIFS('Test Cases'!$C$2:$C$133,D10)</x:f>
        <x:v>10</x:v>
      </x:c>
      <x:c r="F10" s="29" t="n">
        <x:f>COUNTIFS('Test Cases'!$C$2:$C$133,D10,'Test Cases'!$N$2:$N$133,"Not Run")</x:f>
        <x:v>10</x:v>
      </x:c>
      <x:c r="G10" s="29" t="n">
        <x:f>COUNTIFS('Test Cases'!$C$2:$C$133,D10,'Test Cases'!$N$2:$N$133,"Pass")</x:f>
        <x:v>0</x:v>
      </x:c>
      <x:c r="H10" s="29" t="n">
        <x:f>COUNTIFS('Test Cases'!$C$2:$C$133,D10,'Test Cases'!$N$2:$N$133,"Fail")</x:f>
        <x:v>0</x:v>
      </x:c>
      <x:c r="I10" s="29" t="n">
        <x:f>COUNTIFS('Test Cases'!$C$2:$C$133,D10,'Test Cases'!$N$2:$N$133,"Blocked")</x:f>
        <x:v>0</x:v>
      </x:c>
    </x:row>
    <x:row r="11">
      <x:c r="A11" s="24" t="str">
        <x:v>Pass</x:v>
      </x:c>
      <x:c r="B11" s="28" t="n">
        <x:f>COUNTIFS('Test Cases'!$N$2:$N$133,"Pass")</x:f>
        <x:v>0</x:v>
      </x:c>
      <x:c r="C11" s="33"/>
      <x:c r="D11" s="24" t="str">
        <x:v>Time Limit</x:v>
      </x:c>
      <x:c r="E11" s="29" t="n">
        <x:f>COUNTIFS('Test Cases'!$C$2:$C$133,D11)</x:f>
        <x:v>12</x:v>
      </x:c>
      <x:c r="F11" s="29" t="n">
        <x:f>COUNTIFS('Test Cases'!$C$2:$C$133,D11,'Test Cases'!$N$2:$N$133,"Not Run")</x:f>
        <x:v>12</x:v>
      </x:c>
      <x:c r="G11" s="29" t="n">
        <x:f>COUNTIFS('Test Cases'!$C$2:$C$133,D11,'Test Cases'!$N$2:$N$133,"Pass")</x:f>
        <x:v>0</x:v>
      </x:c>
      <x:c r="H11" s="29" t="n">
        <x:f>COUNTIFS('Test Cases'!$C$2:$C$133,D11,'Test Cases'!$N$2:$N$133,"Fail")</x:f>
        <x:v>0</x:v>
      </x:c>
      <x:c r="I11" s="29" t="n">
        <x:f>COUNTIFS('Test Cases'!$C$2:$C$133,D11,'Test Cases'!$N$2:$N$133,"Blocked")</x:f>
        <x:v>0</x:v>
      </x:c>
    </x:row>
    <x:row r="12">
      <x:c r="A12" s="24" t="str">
        <x:v>Fail / Blocked</x:v>
      </x:c>
      <x:c r="B12" s="28" t="n">
        <x:f>COUNTIFS('Test Cases'!$N$2:$N$133,"Fail")+COUNTIFS('Test Cases'!$N$2:$N$133,"Blocked")</x:f>
        <x:v>0</x:v>
      </x:c>
      <x:c r="C12" s="33"/>
      <x:c r="D12" s="24" t="str">
        <x:v>Admin</x:v>
      </x:c>
      <x:c r="E12" s="29" t="n">
        <x:f>COUNTIFS('Test Cases'!$C$2:$C$133,D12)</x:f>
        <x:v>18</x:v>
      </x:c>
      <x:c r="F12" s="29" t="n">
        <x:f>COUNTIFS('Test Cases'!$C$2:$C$133,D12,'Test Cases'!$N$2:$N$133,"Not Run")</x:f>
        <x:v>18</x:v>
      </x:c>
      <x:c r="G12" s="29" t="n">
        <x:f>COUNTIFS('Test Cases'!$C$2:$C$133,D12,'Test Cases'!$N$2:$N$133,"Pass")</x:f>
        <x:v>0</x:v>
      </x:c>
      <x:c r="H12" s="29" t="n">
        <x:f>COUNTIFS('Test Cases'!$C$2:$C$133,D12,'Test Cases'!$N$2:$N$133,"Fail")</x:f>
        <x:v>0</x:v>
      </x:c>
      <x:c r="I12" s="29" t="n">
        <x:f>COUNTIFS('Test Cases'!$C$2:$C$133,D12,'Test Cases'!$N$2:$N$133,"Blocked")</x:f>
        <x:v>0</x:v>
      </x:c>
    </x:row>
    <x:row r="13">
      <x:c r="A13" s="33"/>
      <x:c r="B13" s="33"/>
      <x:c r="C13" s="33"/>
      <x:c r="D13" s="24" t="str">
        <x:v>Instructor</x:v>
      </x:c>
      <x:c r="E13" s="29" t="n">
        <x:f>COUNTIFS('Test Cases'!$C$2:$C$133,D13)</x:f>
        <x:v>22</x:v>
      </x:c>
      <x:c r="F13" s="29" t="n">
        <x:f>COUNTIFS('Test Cases'!$C$2:$C$133,D13,'Test Cases'!$N$2:$N$133,"Not Run")</x:f>
        <x:v>22</x:v>
      </x:c>
      <x:c r="G13" s="29" t="n">
        <x:f>COUNTIFS('Test Cases'!$C$2:$C$133,D13,'Test Cases'!$N$2:$N$133,"Pass")</x:f>
        <x:v>0</x:v>
      </x:c>
      <x:c r="H13" s="29" t="n">
        <x:f>COUNTIFS('Test Cases'!$C$2:$C$133,D13,'Test Cases'!$N$2:$N$133,"Fail")</x:f>
        <x:v>0</x:v>
      </x:c>
      <x:c r="I13" s="29" t="n">
        <x:f>COUNTIFS('Test Cases'!$C$2:$C$133,D13,'Test Cases'!$N$2:$N$133,"Blocked")</x:f>
        <x:v>0</x:v>
      </x:c>
    </x:row>
    <x:row r="14">
      <x:c r="A14" s="33"/>
      <x:c r="B14" s="33"/>
      <x:c r="C14" s="33"/>
      <x:c r="D14" s="24" t="str">
        <x:v>Cross-cutting</x:v>
      </x:c>
      <x:c r="E14" s="29" t="n">
        <x:f>COUNTIFS('Test Cases'!$C$2:$C$133,D14)</x:f>
        <x:v>8</x:v>
      </x:c>
      <x:c r="F14" s="29" t="n">
        <x:f>COUNTIFS('Test Cases'!$C$2:$C$133,D14,'Test Cases'!$N$2:$N$133,"Not Run")</x:f>
        <x:v>8</x:v>
      </x:c>
      <x:c r="G14" s="29" t="n">
        <x:f>COUNTIFS('Test Cases'!$C$2:$C$133,D14,'Test Cases'!$N$2:$N$133,"Pass")</x:f>
        <x:v>0</x:v>
      </x:c>
      <x:c r="H14" s="29" t="n">
        <x:f>COUNTIFS('Test Cases'!$C$2:$C$133,D14,'Test Cases'!$N$2:$N$133,"Fail")</x:f>
        <x:v>0</x:v>
      </x:c>
      <x:c r="I14" s="29" t="n">
        <x:f>COUNTIFS('Test Cases'!$C$2:$C$133,D14,'Test Cases'!$N$2:$N$133,"Blocked")</x:f>
        <x:v>0</x:v>
      </x:c>
    </x:row>
    <x:row r="15">
      <x:c r="A15" s="35" t="str">
        <x:v>Prioritas persiapan sebelum UAT</x:v>
      </x:c>
      <x:c r="B15" s="35"/>
      <x:c r="C15" s="35"/>
      <x:c r="D15" s="35"/>
      <x:c r="E15" s="35"/>
      <x:c r="F15" s="35"/>
      <x:c r="G15" s="35"/>
      <x:c r="H15" s="35"/>
      <x:c r="I15" s="33"/>
    </x:row>
    <x:row r="16">
      <x:c r="A16" s="32" t="str">
        <x:v>1</x:v>
      </x:c>
      <x:c r="B16" s="8" t="str">
        <x:v>Tetapkan aturan role versus tier akses.</x:v>
      </x:c>
      <x:c r="C16" s="8" t="str">
        <x:v>Owner: Product/BA</x:v>
      </x:c>
      <x:c r="D16" s="3" t="str"/>
      <x:c r="E16" s="3" t="str"/>
      <x:c r="F16" s="3" t="str"/>
      <x:c r="G16" s="3" t="str"/>
      <x:c r="H16" s="3" t="str"/>
      <x:c r="I16" s="33"/>
    </x:row>
    <x:row r="17">
      <x:c r="A17" s="32" t="str">
        <x:v>2</x:v>
      </x:c>
      <x:c r="B17" s="8" t="str">
        <x:v>Tetapkan aturan reset, retensi riwayat, dan sertifikat.</x:v>
      </x:c>
      <x:c r="C17" s="8" t="str">
        <x:v>Owner: Product/BA</x:v>
      </x:c>
      <x:c r="D17" s="3" t="str"/>
      <x:c r="E17" s="3" t="str"/>
      <x:c r="F17" s="3" t="str"/>
      <x:c r="G17" s="3" t="str"/>
      <x:c r="H17" s="3" t="str"/>
      <x:c r="I17" s="33"/>
    </x:row>
    <x:row r="18">
      <x:c r="A18" s="32" t="str">
        <x:v>3</x:v>
      </x:c>
      <x:c r="B18" s="8" t="str">
        <x:v>Samakan format file, batas ukuran, pass threshold, timezone, dan reminder.</x:v>
      </x:c>
      <x:c r="C18" s="8" t="str">
        <x:v>Owner: Product/QA</x:v>
      </x:c>
      <x:c r="D18" s="3" t="str"/>
      <x:c r="E18" s="3" t="str"/>
      <x:c r="F18" s="3" t="str"/>
      <x:c r="G18" s="3" t="str"/>
      <x:c r="H18" s="3" t="str"/>
      <x:c r="I18" s="33"/>
    </x:row>
    <x:row r="19">
      <x:c r="A19" s="32" t="str">
        <x:v>4</x:v>
      </x:c>
      <x:c r="B19" s="8" t="str">
        <x:v>Siapkan akun, course, skor, file, deadline, dan data dependent.</x:v>
      </x:c>
      <x:c r="C19" s="8" t="str">
        <x:v>Owner: QA/Dev</x:v>
      </x:c>
      <x:c r="D19" s="3" t="str"/>
      <x:c r="E19" s="3" t="str"/>
      <x:c r="F19" s="3" t="str"/>
      <x:c r="G19" s="3" t="str"/>
      <x:c r="H19" s="3" t="str"/>
      <x:c r="I19" s="33"/>
    </x:row>
    <x:row r="20">
      <x:c r="A20" s="32" t="str">
        <x:v>5</x:v>
      </x:c>
      <x:c r="B20" s="8" t="str">
        <x:v>Eksekusi Test Cases lalu catat bukti dan Defect ID.</x:v>
      </x:c>
      <x:c r="C20" s="8" t="str">
        <x:v>Owner: QA/UAT</x:v>
      </x:c>
      <x:c r="D20" s="3" t="str"/>
      <x:c r="E20" s="3" t="str"/>
      <x:c r="F20" s="3" t="str"/>
      <x:c r="G20" s="3" t="str"/>
      <x:c r="H20" s="3" t="str"/>
      <x:c r="I20" s="33"/>
    </x:row>
    <x:row r="21">
      <x:c r="A21" s="32" t="str">
        <x:v>6</x:v>
      </x:c>
      <x:c r="B21" s="8" t="str">
        <x:v>Gunakan Execution Log untuk retest dan siklus berikutnya.</x:v>
      </x:c>
      <x:c r="C21" s="8" t="str">
        <x:v>Owner: QA</x:v>
      </x:c>
      <x:c r="D21" s="3" t="str"/>
      <x:c r="E21" s="3" t="str"/>
      <x:c r="F21" s="3" t="str"/>
      <x:c r="G21" s="3" t="str"/>
      <x:c r="H21" s="3" t="str"/>
      <x:c r="I21" s="33"/>
    </x:row>
  </x:sheetData>
  <x:mergeCells>
    <x:mergeCell ref="A1:H1"/>
    <x:mergeCell ref="A2:H2"/>
    <x:mergeCell ref="A15:H15"/>
  </x:mergeCells>
  <x:conditionalFormatting sqref="B11:B11">
    <x:cfRule type="containsText" dxfId="8" priority="1" operator="containsText" text="0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8" hidden="0" customWidth="1"/>
    <x:col min="4" max="4" width="18" hidden="0" customWidth="1"/>
    <x:col min="5" max="5" width="34" hidden="0" customWidth="1"/>
    <x:col min="6" max="6" width="14" hidden="0" customWidth="1"/>
    <x:col min="7" max="7" width="11" hidden="0" customWidth="1"/>
    <x:col min="8" max="8" width="18" hidden="0" customWidth="1"/>
    <x:col min="9" max="9" width="30" hidden="0" customWidth="1"/>
    <x:col min="10" max="10" width="30" hidden="0" customWidth="1"/>
    <x:col min="11" max="11" width="38" hidden="0" customWidth="1"/>
    <x:col min="12" max="12" width="42" hidden="0" customWidth="1"/>
    <x:col min="13" max="13" width="34" hidden="0" customWidth="1"/>
    <x:col min="14" max="14" width="13" hidden="0" customWidth="1"/>
    <x:col min="15" max="15" width="16" hidden="0" customWidth="1"/>
    <x:col min="16" max="16" width="14" hidden="0" customWidth="1"/>
    <x:col min="17" max="17" width="32" hidden="0" customWidth="1"/>
    <x:col min="18" max="18" width="24" hidden="0" customWidth="1"/>
    <x:col min="19" max="19" width="14" hidden="0" customWidth="1"/>
    <x:col min="20" max="20" width="24" hidden="0" customWidth="1"/>
  </x:cols>
  <x:sheetData>
    <x:row r="1" ht="30" customHeight="1">
      <x:c r="A1" s="7" t="str">
        <x:v>Test Case ID</x:v>
      </x:c>
      <x:c r="B1" s="7" t="str">
        <x:v>Source</x:v>
      </x:c>
      <x:c r="C1" s="7" t="str">
        <x:v>Module</x:v>
      </x:c>
      <x:c r="D1" s="7" t="str">
        <x:v>Submodule</x:v>
      </x:c>
      <x:c r="E1" s="7" t="str">
        <x:v>Scenario</x:v>
      </x:c>
      <x:c r="F1" s="7" t="str">
        <x:v>Test Type</x:v>
      </x:c>
      <x:c r="G1" s="7" t="str">
        <x:v>Priority</x:v>
      </x:c>
      <x:c r="H1" s="7" t="str">
        <x:v>Actor</x:v>
      </x:c>
      <x:c r="I1" s="7" t="str">
        <x:v>Preconditions</x:v>
      </x:c>
      <x:c r="J1" s="7" t="str">
        <x:v>Test Data</x:v>
      </x:c>
      <x:c r="K1" s="7" t="str">
        <x:v>Steps</x:v>
      </x:c>
      <x:c r="L1" s="7" t="str">
        <x:v>Expected Result</x:v>
      </x:c>
      <x:c r="M1" s="7" t="str">
        <x:v>Business Rule / Requirement</x:v>
      </x:c>
      <x:c r="N1" s="7" t="str">
        <x:v>Status</x:v>
      </x:c>
      <x:c r="O1" s="7" t="str">
        <x:v>Tester</x:v>
      </x:c>
      <x:c r="P1" s="7" t="str">
        <x:v>Execution Date</x:v>
      </x:c>
      <x:c r="Q1" s="7" t="str">
        <x:v>Actual Result</x:v>
      </x:c>
      <x:c r="R1" s="7" t="str">
        <x:v>Evidence</x:v>
      </x:c>
      <x:c r="S1" s="7" t="str">
        <x:v>Defect ID</x:v>
      </x:c>
      <x:c r="T1" s="7" t="str">
        <x:v>Notes</x:v>
      </x:c>
    </x:row>
    <x:row r="2" ht="38" customHeight="1">
      <x:c r="A2" s="10" t="str">
        <x:v>TC-AUTH-001</x:v>
      </x:c>
      <x:c r="B2" s="8" t="str">
        <x:v>261005-Skenario Ujifungsi.docx</x:v>
      </x:c>
      <x:c r="C2" s="8" t="str">
        <x:v>Authentication</x:v>
      </x:c>
      <x:c r="D2" s="8" t="str">
        <x:v>Access control</x:v>
      </x:c>
      <x:c r="E2" s="8" t="str">
        <x:v>Unauthenticated user opens dashboard or course URL</x:v>
      </x:c>
      <x:c r="F2" s="8" t="str">
        <x:v>Security</x:v>
      </x:c>
      <x:c r="G2" s="8" t="str">
        <x:v>Critical</x:v>
      </x:c>
      <x:c r="H2" s="8" t="str">
        <x:v>Visitor</x:v>
      </x:c>
      <x:c r="I2" s="11" t="str">
        <x:v>No active session</x:v>
      </x:c>
      <x:c r="J2" s="11" t="str">
        <x:v>Public browser; /dashboard and /courses</x:v>
      </x:c>
      <x:c r="K2" s="11" t="str">
        <x:v>1. Open the LMS URL.
2. Open a protected URL directly.</x:v>
      </x:c>
      <x:c r="L2" s="11" t="str">
        <x:v>User is redirected to /login and receives a clear login-required message. No protected data is rendered.</x:v>
      </x:c>
      <x:c r="M2" s="11" t="str">
        <x:v>Protected pages require authentication.</x:v>
      </x:c>
      <x:c r="N2" s="8" t="str">
        <x:v>Not Run</x:v>
      </x:c>
      <x:c r="O2" s="8" t="str"/>
      <x:c r="P2" s="9" t="str"/>
      <x:c r="Q2" s="11" t="str"/>
      <x:c r="R2" s="11" t="str"/>
      <x:c r="S2" s="8" t="str"/>
      <x:c r="T2" s="11" t="str"/>
    </x:row>
    <x:row r="3" ht="38" customHeight="1">
      <x:c r="A3" s="10" t="str">
        <x:v>TC-AUTH-002</x:v>
      </x:c>
      <x:c r="B3" s="8" t="str">
        <x:v>261005-Skenario Ujifungsi.docx</x:v>
      </x:c>
      <x:c r="C3" s="8" t="str">
        <x:v>Authentication</x:v>
      </x:c>
      <x:c r="D3" s="8" t="str">
        <x:v>Login</x:v>
      </x:c>
      <x:c r="E3" s="8" t="str">
        <x:v>Login with valid credentials</x:v>
      </x:c>
      <x:c r="F3" s="8" t="str">
        <x:v>Positive</x:v>
      </x:c>
      <x:c r="G3" s="8" t="str">
        <x:v>Critical</x:v>
      </x:c>
      <x:c r="H3" s="8" t="str">
        <x:v>Admin/Pemateri/Peserta</x:v>
      </x:c>
      <x:c r="I3" s="11" t="str">
        <x:v>Active account exists</x:v>
      </x:c>
      <x:c r="J3" s="11" t="str">
        <x:v>Valid username/email and password</x:v>
      </x:c>
      <x:c r="K3" s="11" t="str">
        <x:v>1. Open login.
2. Enter valid credentials.
3. Submit.</x:v>
      </x:c>
      <x:c r="L3" s="11" t="str">
        <x:v>Login succeeds and the user is routed to the dashboard permitted for the account type.</x:v>
      </x:c>
      <x:c r="M3" s="11" t="str">
        <x:v>Valid credentials create an authenticated session.</x:v>
      </x:c>
      <x:c r="N3" s="8" t="str">
        <x:v>Not Run</x:v>
      </x:c>
      <x:c r="O3" s="8" t="str"/>
      <x:c r="P3" s="9" t="str"/>
      <x:c r="Q3" s="11" t="str"/>
      <x:c r="R3" s="11" t="str"/>
      <x:c r="S3" s="8" t="str"/>
      <x:c r="T3" s="11" t="str"/>
    </x:row>
    <x:row r="4" ht="38" customHeight="1">
      <x:c r="A4" s="10" t="str">
        <x:v>TC-AUTH-003</x:v>
      </x:c>
      <x:c r="B4" s="8" t="str">
        <x:v>261005-Skenario Ujifungsi.docx</x:v>
      </x:c>
      <x:c r="C4" s="8" t="str">
        <x:v>Authentication</x:v>
      </x:c>
      <x:c r="D4" s="8" t="str">
        <x:v>Login</x:v>
      </x:c>
      <x:c r="E4" s="8" t="str">
        <x:v>Login with invalid username</x:v>
      </x:c>
      <x:c r="F4" s="8" t="str">
        <x:v>Negative</x:v>
      </x:c>
      <x:c r="G4" s="8" t="str">
        <x:v>High</x:v>
      </x:c>
      <x:c r="H4" s="8" t="str">
        <x:v>All roles</x:v>
      </x:c>
      <x:c r="I4" s="11" t="str">
        <x:v>Login page available</x:v>
      </x:c>
      <x:c r="J4" s="11" t="str">
        <x:v>Unregistered username/email; valid password</x:v>
      </x:c>
      <x:c r="K4" s="11" t="str">
        <x:v>1. Enter an unknown username.
2. Enter a password.
3. Submit.</x:v>
      </x:c>
      <x:c r="L4" s="11" t="str">
        <x:v>Login is rejected with a clear, non-sensitive error. No session is created.</x:v>
      </x:c>
      <x:c r="M4" s="11" t="str">
        <x:v>Unknown identity cannot authenticate.</x:v>
      </x:c>
      <x:c r="N4" s="8" t="str">
        <x:v>Not Run</x:v>
      </x:c>
      <x:c r="O4" s="8" t="str"/>
      <x:c r="P4" s="9" t="str"/>
      <x:c r="Q4" s="11" t="str"/>
      <x:c r="R4" s="11" t="str"/>
      <x:c r="S4" s="8" t="str"/>
      <x:c r="T4" s="11" t="str"/>
    </x:row>
    <x:row r="5" ht="38" customHeight="1">
      <x:c r="A5" s="10" t="str">
        <x:v>TC-AUTH-004</x:v>
      </x:c>
      <x:c r="B5" s="8" t="str">
        <x:v>261005-Skenario Ujifungsi.docx</x:v>
      </x:c>
      <x:c r="C5" s="8" t="str">
        <x:v>Authentication</x:v>
      </x:c>
      <x:c r="D5" s="8" t="str">
        <x:v>Login</x:v>
      </x:c>
      <x:c r="E5" s="8" t="str">
        <x:v>Login with invalid password</x:v>
      </x:c>
      <x:c r="F5" s="8" t="str">
        <x:v>Negative</x:v>
      </x:c>
      <x:c r="G5" s="8" t="str">
        <x:v>High</x:v>
      </x:c>
      <x:c r="H5" s="8" t="str">
        <x:v>All roles</x:v>
      </x:c>
      <x:c r="I5" s="11" t="str">
        <x:v>Registered account exists</x:v>
      </x:c>
      <x:c r="J5" s="11" t="str">
        <x:v>Registered username/email; wrong password</x:v>
      </x:c>
      <x:c r="K5" s="11" t="str">
        <x:v>1. Enter a registered identity.
2. Enter the wrong password.
3. Submit.</x:v>
      </x:c>
      <x:c r="L5" s="11" t="str">
        <x:v>Login is rejected with a clear, non-sensitive error. No session is created.</x:v>
      </x:c>
      <x:c r="M5" s="11" t="str">
        <x:v>Wrong password cannot authenticate.</x:v>
      </x:c>
      <x:c r="N5" s="8" t="str">
        <x:v>Not Run</x:v>
      </x:c>
      <x:c r="O5" s="8" t="str"/>
      <x:c r="P5" s="9" t="str"/>
      <x:c r="Q5" s="11" t="str"/>
      <x:c r="R5" s="11" t="str"/>
      <x:c r="S5" s="8" t="str"/>
      <x:c r="T5" s="11" t="str"/>
    </x:row>
    <x:row r="6" ht="38" customHeight="1">
      <x:c r="A6" s="10" t="str">
        <x:v>TC-AUTH-005</x:v>
      </x:c>
      <x:c r="B6" s="8" t="str">
        <x:v>261005-Skenario Ujifungsi.docx</x:v>
      </x:c>
      <x:c r="C6" s="8" t="str">
        <x:v>Authentication</x:v>
      </x:c>
      <x:c r="D6" s="8" t="str">
        <x:v>Validation</x:v>
      </x:c>
      <x:c r="E6" s="8" t="str">
        <x:v>Submit login with required fields empty</x:v>
      </x:c>
      <x:c r="F6" s="8" t="str">
        <x:v>Negative</x:v>
      </x:c>
      <x:c r="G6" s="8" t="str">
        <x:v>High</x:v>
      </x:c>
      <x:c r="H6" s="8" t="str">
        <x:v>All roles</x:v>
      </x:c>
      <x:c r="I6" s="11" t="str">
        <x:v>Login page available</x:v>
      </x:c>
      <x:c r="J6" s="11" t="str">
        <x:v>Blank username/email and/or password</x:v>
      </x:c>
      <x:c r="K6" s="11" t="str">
        <x:v>1. Leave one or more required fields blank.
2. Submit.</x:v>
      </x:c>
      <x:c r="L6" s="11" t="str">
        <x:v>Client/server validation identifies the required field and prevents submission.</x:v>
      </x:c>
      <x:c r="M6" s="11" t="str">
        <x:v>Required login fields must be completed.</x:v>
      </x:c>
      <x:c r="N6" s="8" t="str">
        <x:v>Not Run</x:v>
      </x:c>
      <x:c r="O6" s="8" t="str"/>
      <x:c r="P6" s="9" t="str"/>
      <x:c r="Q6" s="11" t="str"/>
      <x:c r="R6" s="11" t="str"/>
      <x:c r="S6" s="8" t="str"/>
      <x:c r="T6" s="11" t="str"/>
    </x:row>
    <x:row r="7" ht="38" customHeight="1">
      <x:c r="A7" s="10" t="str">
        <x:v>TC-AUTH-006</x:v>
      </x:c>
      <x:c r="B7" s="8" t="str">
        <x:v>261005-Skenario Ujifungsi.docx</x:v>
      </x:c>
      <x:c r="C7" s="8" t="str">
        <x:v>Authentication</x:v>
      </x:c>
      <x:c r="D7" s="8" t="str">
        <x:v>Captcha</x:v>
      </x:c>
      <x:c r="E7" s="8" t="str">
        <x:v>Login with incorrect captcha</x:v>
      </x:c>
      <x:c r="F7" s="8" t="str">
        <x:v>Negative</x:v>
      </x:c>
      <x:c r="G7" s="8" t="str">
        <x:v>High</x:v>
      </x:c>
      <x:c r="H7" s="8" t="str">
        <x:v>All roles</x:v>
      </x:c>
      <x:c r="I7" s="11" t="str">
        <x:v>Captcha is displayed</x:v>
      </x:c>
      <x:c r="J7" s="11" t="str">
        <x:v>Valid credentials; incorrect captcha</x:v>
      </x:c>
      <x:c r="K7" s="11" t="str">
        <x:v>1. Enter valid credentials.
2. Enter an incorrect captcha.
3. Submit.</x:v>
      </x:c>
      <x:c r="L7" s="11" t="str">
        <x:v>Login is rejected and a clear captcha error is shown. Captcha state is refreshed or remains valid according to the defined rule.</x:v>
      </x:c>
      <x:c r="M7" s="11" t="str">
        <x:v>Captcha must be validated server-side.</x:v>
      </x:c>
      <x:c r="N7" s="8" t="str">
        <x:v>Not Run</x:v>
      </x:c>
      <x:c r="O7" s="8" t="str"/>
      <x:c r="P7" s="9" t="str"/>
      <x:c r="Q7" s="11" t="str"/>
      <x:c r="R7" s="11" t="str"/>
      <x:c r="S7" s="8" t="str"/>
      <x:c r="T7" s="11" t="str"/>
    </x:row>
    <x:row r="8" ht="38" customHeight="1">
      <x:c r="A8" s="10" t="str">
        <x:v>TC-AUTH-007</x:v>
      </x:c>
      <x:c r="B8" s="8" t="str">
        <x:v>261005-Skenario Ujifungsi.docx</x:v>
      </x:c>
      <x:c r="C8" s="8" t="str">
        <x:v>Authentication</x:v>
      </x:c>
      <x:c r="D8" s="8" t="str">
        <x:v>Captcha</x:v>
      </x:c>
      <x:c r="E8" s="8" t="str">
        <x:v>Captcha refresh or expired captcha</x:v>
      </x:c>
      <x:c r="F8" s="8" t="str">
        <x:v>Boundary</x:v>
      </x:c>
      <x:c r="G8" s="8" t="str">
        <x:v>Medium</x:v>
      </x:c>
      <x:c r="H8" s="8" t="str">
        <x:v>All roles</x:v>
      </x:c>
      <x:c r="I8" s="11" t="str">
        <x:v>Captcha is displayed</x:v>
      </x:c>
      <x:c r="J8" s="11" t="str">
        <x:v>Old captcha value; refreshed captcha</x:v>
      </x:c>
      <x:c r="K8" s="11" t="str">
        <x:v>1. Refresh the captcha or wait until expiry.
2. Submit using the old value.</x:v>
      </x:c>
      <x:c r="L8" s="11" t="str">
        <x:v>Old/expired captcha is rejected and the user can obtain a new captcha.</x:v>
      </x:c>
      <x:c r="M8" s="11" t="str">
        <x:v>Captcha has a defined lifetime and refresh behavior.</x:v>
      </x:c>
      <x:c r="N8" s="8" t="str">
        <x:v>Not Run</x:v>
      </x:c>
      <x:c r="O8" s="8" t="str"/>
      <x:c r="P8" s="9" t="str"/>
      <x:c r="Q8" s="11" t="str"/>
      <x:c r="R8" s="11" t="str"/>
      <x:c r="S8" s="8" t="str"/>
      <x:c r="T8" s="11" t="str"/>
    </x:row>
    <x:row r="9" ht="38" customHeight="1">
      <x:c r="A9" s="10" t="str">
        <x:v>TC-AUTH-008</x:v>
      </x:c>
      <x:c r="B9" s="8" t="str">
        <x:v>261005-Skenario Ujifungsi.docx</x:v>
      </x:c>
      <x:c r="C9" s="8" t="str">
        <x:v>Authentication</x:v>
      </x:c>
      <x:c r="D9" s="8" t="str">
        <x:v>Account protection</x:v>
      </x:c>
      <x:c r="E9" s="8" t="str">
        <x:v>Repeated failed login attempts</x:v>
      </x:c>
      <x:c r="F9" s="8" t="str">
        <x:v>Security</x:v>
      </x:c>
      <x:c r="G9" s="8" t="str">
        <x:v>High</x:v>
      </x:c>
      <x:c r="H9" s="8" t="str">
        <x:v>All roles</x:v>
      </x:c>
      <x:c r="I9" s="11" t="str">
        <x:v>Account exists and rate-limit policy is configured</x:v>
      </x:c>
      <x:c r="J9" s="11" t="str">
        <x:v>Wrong password repeated according to policy</x:v>
      </x:c>
      <x:c r="K9" s="11" t="str">
        <x:v>1. Submit invalid credentials repeatedly.
2. Observe account and response behavior.</x:v>
      </x:c>
      <x:c r="L9" s="11" t="str">
        <x:v>Rate limiting or lockout follows the configured threshold, does not expose account existence unnecessarily, and provides recovery guidance.</x:v>
      </x:c>
      <x:c r="M9" s="11" t="str">
        <x:v>Repeated authentication failures are controlled.</x:v>
      </x:c>
      <x:c r="N9" s="8" t="str">
        <x:v>Not Run</x:v>
      </x:c>
      <x:c r="O9" s="8" t="str"/>
      <x:c r="P9" s="9" t="str"/>
      <x:c r="Q9" s="11" t="str"/>
      <x:c r="R9" s="11" t="str"/>
      <x:c r="S9" s="8" t="str"/>
      <x:c r="T9" s="11" t="str"/>
    </x:row>
    <x:row r="10" ht="38" customHeight="1">
      <x:c r="A10" s="10" t="str">
        <x:v>TC-AUTH-009</x:v>
      </x:c>
      <x:c r="B10" s="8" t="str">
        <x:v>261005-Skenario Ujifungsi.docx</x:v>
      </x:c>
      <x:c r="C10" s="8" t="str">
        <x:v>Authentication</x:v>
      </x:c>
      <x:c r="D10" s="8" t="str">
        <x:v>Session</x:v>
      </x:c>
      <x:c r="E10" s="8" t="str">
        <x:v>Logout from an authenticated session</x:v>
      </x:c>
      <x:c r="F10" s="8" t="str">
        <x:v>Positive</x:v>
      </x:c>
      <x:c r="G10" s="8" t="str">
        <x:v>Critical</x:v>
      </x:c>
      <x:c r="H10" s="8" t="str">
        <x:v>All roles</x:v>
      </x:c>
      <x:c r="I10" s="11" t="str">
        <x:v>User is logged in</x:v>
      </x:c>
      <x:c r="J10" s="11" t="str">
        <x:v>Valid session</x:v>
      </x:c>
      <x:c r="K10" s="11" t="str">
        <x:v>1. Click Logout.
2. Reopen the dashboard URL.</x:v>
      </x:c>
      <x:c r="L10" s="11" t="str">
        <x:v>Session is invalidated and protected pages require login again.</x:v>
      </x:c>
      <x:c r="M10" s="11" t="str">
        <x:v>Logout invalidates the active session.</x:v>
      </x:c>
      <x:c r="N10" s="8" t="str">
        <x:v>Not Run</x:v>
      </x:c>
      <x:c r="O10" s="8" t="str"/>
      <x:c r="P10" s="9" t="str"/>
      <x:c r="Q10" s="11" t="str"/>
      <x:c r="R10" s="11" t="str"/>
      <x:c r="S10" s="8" t="str"/>
      <x:c r="T10" s="11" t="str"/>
    </x:row>
    <x:row r="11" ht="38" customHeight="1">
      <x:c r="A11" s="10" t="str">
        <x:v>TC-AUTH-010</x:v>
      </x:c>
      <x:c r="B11" s="8" t="str">
        <x:v>261005-Skenario Ujifungsi.docx</x:v>
      </x:c>
      <x:c r="C11" s="8" t="str">
        <x:v>Authentication</x:v>
      </x:c>
      <x:c r="D11" s="8" t="str">
        <x:v>Session</x:v>
      </x:c>
      <x:c r="E11" s="8" t="str">
        <x:v>Session timeout</x:v>
      </x:c>
      <x:c r="F11" s="8" t="str">
        <x:v>Boundary</x:v>
      </x:c>
      <x:c r="G11" s="8" t="str">
        <x:v>High</x:v>
      </x:c>
      <x:c r="H11" s="8" t="str">
        <x:v>All roles</x:v>
      </x:c>
      <x:c r="I11" s="11" t="str">
        <x:v>Timeout policy is configured</x:v>
      </x:c>
      <x:c r="J11" s="11" t="str">
        <x:v>Authenticated session; wait past timeout</x:v>
      </x:c>
      <x:c r="K11" s="11" t="str">
        <x:v>1. Login.
2. Remain idle until timeout.
3. Request a protected page.</x:v>
      </x:c>
      <x:c r="L11" s="11" t="str">
        <x:v>User is redirected to login. Protected data is not accessible after timeout.</x:v>
      </x:c>
      <x:c r="M11" s="11" t="str">
        <x:v>Idle sessions expire according to policy.</x:v>
      </x:c>
      <x:c r="N11" s="8" t="str">
        <x:v>Not Run</x:v>
      </x:c>
      <x:c r="O11" s="8" t="str"/>
      <x:c r="P11" s="9" t="str"/>
      <x:c r="Q11" s="11" t="str"/>
      <x:c r="R11" s="11" t="str"/>
      <x:c r="S11" s="8" t="str"/>
      <x:c r="T11" s="11" t="str"/>
    </x:row>
    <x:row r="12" ht="38" customHeight="1">
      <x:c r="A12" s="10" t="str">
        <x:v>TC-AUTH-011</x:v>
      </x:c>
      <x:c r="B12" s="8" t="str">
        <x:v>261005-Skenario Ujifungsi.docx</x:v>
      </x:c>
      <x:c r="C12" s="8" t="str">
        <x:v>Authentication</x:v>
      </x:c>
      <x:c r="D12" s="8" t="str">
        <x:v>Session</x:v>
      </x:c>
      <x:c r="E12" s="8" t="str">
        <x:v>Browser Back after logout</x:v>
      </x:c>
      <x:c r="F12" s="8" t="str">
        <x:v>Security</x:v>
      </x:c>
      <x:c r="G12" s="8" t="str">
        <x:v>High</x:v>
      </x:c>
      <x:c r="H12" s="8" t="str">
        <x:v>All roles</x:v>
      </x:c>
      <x:c r="I12" s="11" t="str">
        <x:v>User logged in and has visited a protected page</x:v>
      </x:c>
      <x:c r="J12" s="11" t="str">
        <x:v>Browser history with protected page</x:v>
      </x:c>
      <x:c r="K12" s="11" t="str">
        <x:v>1. Open a protected page.
2. Logout.
3. Press Back and refresh.</x:v>
      </x:c>
      <x:c r="L12" s="11" t="str">
        <x:v>Cached content is not usable; refresh requires authentication and does not expose protected data.</x:v>
      </x:c>
      <x:c r="M12" s="11" t="str">
        <x:v>Logged-out users cannot reuse cached protected content.</x:v>
      </x:c>
      <x:c r="N12" s="8" t="str">
        <x:v>Not Run</x:v>
      </x:c>
      <x:c r="O12" s="8" t="str"/>
      <x:c r="P12" s="9" t="str"/>
      <x:c r="Q12" s="11" t="str"/>
      <x:c r="R12" s="11" t="str"/>
      <x:c r="S12" s="8" t="str"/>
      <x:c r="T12" s="11" t="str"/>
    </x:row>
    <x:row r="13" ht="38" customHeight="1">
      <x:c r="A13" s="10" t="str">
        <x:v>TC-AUTH-012</x:v>
      </x:c>
      <x:c r="B13" s="8" t="str">
        <x:v>261005-Skenario Ujifungsi.docx</x:v>
      </x:c>
      <x:c r="C13" s="8" t="str">
        <x:v>Authentication</x:v>
      </x:c>
      <x:c r="D13" s="8" t="str">
        <x:v>Authorization</x:v>
      </x:c>
      <x:c r="E13" s="8" t="str">
        <x:v>User attempts protected API or asset URL directly</x:v>
      </x:c>
      <x:c r="F13" s="8" t="str">
        <x:v>Security</x:v>
      </x:c>
      <x:c r="G13" s="8" t="str">
        <x:v>Critical</x:v>
      </x:c>
      <x:c r="H13" s="8" t="str">
        <x:v>Peserta</x:v>
      </x:c>
      <x:c r="I13" s="11" t="str">
        <x:v>A protected course/resource exists</x:v>
      </x:c>
      <x:c r="J13" s="11" t="str">
        <x:v>Low-access account; protected API or asset URL</x:v>
      </x:c>
      <x:c r="K13" s="11" t="str">
        <x:v>1. Login as a user without access.
2. Request the protected endpoint/resource directly.</x:v>
      </x:c>
      <x:c r="L13" s="11" t="str">
        <x:v>Server-side authorization rejects the request and does not disclose the protected content, even if the UI hides the item.</x:v>
      </x:c>
      <x:c r="M13" s="11" t="str">
        <x:v>Authorization is enforced at the server/resource layer.</x:v>
      </x:c>
      <x:c r="N13" s="8" t="str">
        <x:v>Not Run</x:v>
      </x:c>
      <x:c r="O13" s="8" t="str"/>
      <x:c r="P13" s="9" t="str"/>
      <x:c r="Q13" s="11" t="str"/>
      <x:c r="R13" s="11" t="str"/>
      <x:c r="S13" s="8" t="str"/>
      <x:c r="T13" s="11" t="str"/>
    </x:row>
    <x:row r="14" ht="38" customHeight="1">
      <x:c r="A14" s="10" t="str">
        <x:v>TC-ACCESS-001</x:v>
      </x:c>
      <x:c r="B14" s="8" t="str">
        <x:v>261005-Skenario Ujifungsi.docx</x:v>
      </x:c>
      <x:c r="C14" s="8" t="str">
        <x:v>Course Access</x:v>
      </x:c>
      <x:c r="D14" s="8" t="str">
        <x:v>Catalog</x:v>
      </x:c>
      <x:c r="E14" s="8" t="str">
        <x:v>Catalog differs by access tier</x:v>
      </x:c>
      <x:c r="F14" s="8" t="str">
        <x:v>Positive</x:v>
      </x:c>
      <x:c r="G14" s="8" t="str">
        <x:v>Critical</x:v>
      </x:c>
      <x:c r="H14" s="8" t="str">
        <x:v>Peserta</x:v>
      </x:c>
      <x:c r="I14" s="11" t="str">
        <x:v>Basic and Premium test accounts and courses are configured</x:v>
      </x:c>
      <x:c r="J14" s="11" t="str">
        <x:v>Basic account; Premium account; catalog snapshot</x:v>
      </x:c>
      <x:c r="K14" s="11" t="str">
        <x:v>1. Login as Basic.
2. Record visible courses.
3. Login as Premium.
4. Record visible courses.</x:v>
      </x:c>
      <x:c r="L14" s="11" t="str">
        <x:v>Each account sees exactly the courses allowed by its configured tier.</x:v>
      </x:c>
      <x:c r="M14" s="11" t="str">
        <x:v>Course catalog is filtered by entitlement.</x:v>
      </x:c>
      <x:c r="N14" s="8" t="str">
        <x:v>Not Run</x:v>
      </x:c>
      <x:c r="O14" s="8" t="str"/>
      <x:c r="P14" s="9" t="str"/>
      <x:c r="Q14" s="11" t="str"/>
      <x:c r="R14" s="11" t="str"/>
      <x:c r="S14" s="8" t="str"/>
      <x:c r="T14" s="11" t="str"/>
    </x:row>
    <x:row r="15" ht="38" customHeight="1">
      <x:c r="A15" s="10" t="str">
        <x:v>TC-ACCESS-002</x:v>
      </x:c>
      <x:c r="B15" s="8" t="str">
        <x:v>261005-Skenario Ujifungsi.docx</x:v>
      </x:c>
      <x:c r="C15" s="8" t="str">
        <x:v>Course Access</x:v>
      </x:c>
      <x:c r="D15" s="8" t="str">
        <x:v>Catalog</x:v>
      </x:c>
      <x:c r="E15" s="8" t="str">
        <x:v>Restricted course is hidden or clearly marked</x:v>
      </x:c>
      <x:c r="F15" s="8" t="str">
        <x:v>Negative</x:v>
      </x:c>
      <x:c r="G15" s="8" t="str">
        <x:v>High</x:v>
      </x:c>
      <x:c r="H15" s="8" t="str">
        <x:v>Peserta</x:v>
      </x:c>
      <x:c r="I15" s="11" t="str">
        <x:v>Restricted course exists</x:v>
      </x:c>
      <x:c r="J15" s="11" t="str">
        <x:v>Account without entitlement</x:v>
      </x:c>
      <x:c r="K15" s="11" t="str">
        <x:v>1. Open the catalog.
2. Search for the restricted course.</x:v>
      </x:c>
      <x:c r="L15" s="11" t="str">
        <x:v>Course is hidden or marked unavailable with a defined call to action; no unauthorized content is exposed.</x:v>
      </x:c>
      <x:c r="M15" s="11" t="str">
        <x:v>Restricted content has a consistent discoverability rule.</x:v>
      </x:c>
      <x:c r="N15" s="8" t="str">
        <x:v>Not Run</x:v>
      </x:c>
      <x:c r="O15" s="8" t="str"/>
      <x:c r="P15" s="9" t="str"/>
      <x:c r="Q15" s="11" t="str"/>
      <x:c r="R15" s="11" t="str"/>
      <x:c r="S15" s="8" t="str"/>
      <x:c r="T15" s="11" t="str"/>
    </x:row>
    <x:row r="16" ht="38" customHeight="1">
      <x:c r="A16" s="10" t="str">
        <x:v>TC-ACCESS-003</x:v>
      </x:c>
      <x:c r="B16" s="8" t="str">
        <x:v>261005-Skenario Ujifungsi.docx</x:v>
      </x:c>
      <x:c r="C16" s="8" t="str">
        <x:v>Course Access</x:v>
      </x:c>
      <x:c r="D16" s="8" t="str">
        <x:v>Authorization</x:v>
      </x:c>
      <x:c r="E16" s="8" t="str">
        <x:v>Direct URL to restricted course</x:v>
      </x:c>
      <x:c r="F16" s="8" t="str">
        <x:v>Security</x:v>
      </x:c>
      <x:c r="G16" s="8" t="str">
        <x:v>Critical</x:v>
      </x:c>
      <x:c r="H16" s="8" t="str">
        <x:v>Peserta</x:v>
      </x:c>
      <x:c r="I16" s="11" t="str">
        <x:v>Restricted course URL is known</x:v>
      </x:c>
      <x:c r="J16" s="11" t="str">
        <x:v>Low-access account; restricted URL</x:v>
      </x:c>
      <x:c r="K16" s="11" t="str">
        <x:v>1. Login with an account without access.
2. Open the course URL directly.</x:v>
      </x:c>
      <x:c r="L16" s="11" t="str">
        <x:v>Access is rejected with the defined 403/access-denied behavior or upgrade guidance; course data is not shown.</x:v>
      </x:c>
      <x:c r="M16" s="11" t="str">
        <x:v>Direct URL manipulation cannot bypass entitlement checks.</x:v>
      </x:c>
      <x:c r="N16" s="8" t="str">
        <x:v>Not Run</x:v>
      </x:c>
      <x:c r="O16" s="8" t="str"/>
      <x:c r="P16" s="9" t="str"/>
      <x:c r="Q16" s="11" t="str"/>
      <x:c r="R16" s="11" t="str"/>
      <x:c r="S16" s="8" t="str"/>
      <x:c r="T16" s="11" t="str"/>
    </x:row>
    <x:row r="17" ht="38" customHeight="1">
      <x:c r="A17" s="10" t="str">
        <x:v>TC-ACCESS-004</x:v>
      </x:c>
      <x:c r="B17" s="8" t="str">
        <x:v>261005-Skenario Ujifungsi.docx</x:v>
      </x:c>
      <x:c r="C17" s="8" t="str">
        <x:v>Course Access</x:v>
      </x:c>
      <x:c r="D17" s="8" t="str">
        <x:v>Enrollment</x:v>
      </x:c>
      <x:c r="E17" s="8" t="str">
        <x:v>Enroll in an entitled course</x:v>
      </x:c>
      <x:c r="F17" s="8" t="str">
        <x:v>Positive</x:v>
      </x:c>
      <x:c r="G17" s="8" t="str">
        <x:v>Critical</x:v>
      </x:c>
      <x:c r="H17" s="8" t="str">
        <x:v>Peserta</x:v>
      </x:c>
      <x:c r="I17" s="11" t="str">
        <x:v>Valid account; published entitled course</x:v>
      </x:c>
      <x:c r="J17" s="11" t="str">
        <x:v>Course available to the account</x:v>
      </x:c>
      <x:c r="K17" s="11" t="str">
        <x:v>1. Open the course.
2. Click Mulai Belajar/Enroll.
3. Open Materi Saya.</x:v>
      </x:c>
      <x:c r="L17" s="11" t="str">
        <x:v>Enrollment succeeds, the course appears in Materi Saya, and the initial progress is recorded correctly.</x:v>
      </x:c>
      <x:c r="M17" s="11" t="str">
        <x:v>Eligible users can enroll once.</x:v>
      </x:c>
      <x:c r="N17" s="8" t="str">
        <x:v>Not Run</x:v>
      </x:c>
      <x:c r="O17" s="8" t="str"/>
      <x:c r="P17" s="9" t="str"/>
      <x:c r="Q17" s="11" t="str"/>
      <x:c r="R17" s="11" t="str"/>
      <x:c r="S17" s="8" t="str"/>
      <x:c r="T17" s="11" t="str"/>
    </x:row>
    <x:row r="18" ht="38" customHeight="1">
      <x:c r="A18" s="10" t="str">
        <x:v>TC-ACCESS-005</x:v>
      </x:c>
      <x:c r="B18" s="8" t="str">
        <x:v>261005-Skenario Ujifungsi.docx</x:v>
      </x:c>
      <x:c r="C18" s="8" t="str">
        <x:v>Course Access</x:v>
      </x:c>
      <x:c r="D18" s="8" t="str">
        <x:v>Enrollment</x:v>
      </x:c>
      <x:c r="E18" s="8" t="str">
        <x:v>Duplicate enrollment submission</x:v>
      </x:c>
      <x:c r="F18" s="8" t="str">
        <x:v>Boundary</x:v>
      </x:c>
      <x:c r="G18" s="8" t="str">
        <x:v>High</x:v>
      </x:c>
      <x:c r="H18" s="8" t="str">
        <x:v>Peserta</x:v>
      </x:c>
      <x:c r="I18" s="11" t="str">
        <x:v>User already enrolled</x:v>
      </x:c>
      <x:c r="J18" s="11" t="str">
        <x:v>Same course; repeated click or repeated request</x:v>
      </x:c>
      <x:c r="K18" s="11" t="str">
        <x:v>1. Enroll.
2. Repeat the action or refresh during submission.</x:v>
      </x:c>
      <x:c r="L18" s="11" t="str">
        <x:v>Only one enrollment is created; the UI and backend remain consistent.</x:v>
      </x:c>
      <x:c r="M18" s="11" t="str">
        <x:v>Enrollment is idempotent.</x:v>
      </x:c>
      <x:c r="N18" s="8" t="str">
        <x:v>Not Run</x:v>
      </x:c>
      <x:c r="O18" s="8" t="str"/>
      <x:c r="P18" s="9" t="str"/>
      <x:c r="Q18" s="11" t="str"/>
      <x:c r="R18" s="11" t="str"/>
      <x:c r="S18" s="8" t="str"/>
      <x:c r="T18" s="11" t="str"/>
    </x:row>
    <x:row r="19" ht="38" customHeight="1">
      <x:c r="A19" s="10" t="str">
        <x:v>TC-ACCESS-006</x:v>
      </x:c>
      <x:c r="B19" s="8" t="str">
        <x:v>261005-Skenario Ujifungsi.docx</x:v>
      </x:c>
      <x:c r="C19" s="8" t="str">
        <x:v>Course Access</x:v>
      </x:c>
      <x:c r="D19" s="8" t="str">
        <x:v>Enrollment</x:v>
      </x:c>
      <x:c r="E19" s="8" t="str">
        <x:v>Enroll in unpublished or inactive course</x:v>
      </x:c>
      <x:c r="F19" s="8" t="str">
        <x:v>Negative</x:v>
      </x:c>
      <x:c r="G19" s="8" t="str">
        <x:v>High</x:v>
      </x:c>
      <x:c r="H19" s="8" t="str">
        <x:v>Peserta</x:v>
      </x:c>
      <x:c r="I19" s="11" t="str">
        <x:v>Course is draft/unpublished/inactive</x:v>
      </x:c>
      <x:c r="J19" s="11" t="str">
        <x:v>Course with non-published status</x:v>
      </x:c>
      <x:c r="K19" s="11" t="str">
        <x:v>1. Try to open or enroll in the course.</x:v>
      </x:c>
      <x:c r="L19" s="11" t="str">
        <x:v>User cannot enroll; the course is hidden or shows the defined unavailable message.</x:v>
      </x:c>
      <x:c r="M19" s="11" t="str">
        <x:v>Only eligible published courses can be enrolled.</x:v>
      </x:c>
      <x:c r="N19" s="8" t="str">
        <x:v>Not Run</x:v>
      </x:c>
      <x:c r="O19" s="8" t="str"/>
      <x:c r="P19" s="9" t="str"/>
      <x:c r="Q19" s="11" t="str"/>
      <x:c r="R19" s="11" t="str"/>
      <x:c r="S19" s="8" t="str"/>
      <x:c r="T19" s="11" t="str"/>
    </x:row>
    <x:row r="20" ht="38" customHeight="1">
      <x:c r="A20" s="10" t="str">
        <x:v>TC-ACCESS-007</x:v>
      </x:c>
      <x:c r="B20" s="8" t="str">
        <x:v>261005-Skenario Ujifungsi.docx</x:v>
      </x:c>
      <x:c r="C20" s="8" t="str">
        <x:v>Course Access</x:v>
      </x:c>
      <x:c r="D20" s="8" t="str">
        <x:v>Progress</x:v>
      </x:c>
      <x:c r="E20" s="8" t="str">
        <x:v>Progress updates after completing an activity</x:v>
      </x:c>
      <x:c r="F20" s="8" t="str">
        <x:v>Positive</x:v>
      </x:c>
      <x:c r="G20" s="8" t="str">
        <x:v>Critical</x:v>
      </x:c>
      <x:c r="H20" s="8" t="str">
        <x:v>Peserta</x:v>
      </x:c>
      <x:c r="I20" s="11" t="str">
        <x:v>User enrolled in a course with measurable activity progress</x:v>
      </x:c>
      <x:c r="J20" s="11" t="str">
        <x:v>Complete one activity</x:v>
      </x:c>
      <x:c r="K20" s="11" t="str">
        <x:v>1. Open an activity.
2. Complete it according to the completion rule.
3. Return to the course/dashboard.</x:v>
      </x:c>
      <x:c r="L20" s="11" t="str">
        <x:v>Activity status and overall progress update accurately and persist after refresh.</x:v>
      </x:c>
      <x:c r="M20" s="11" t="str">
        <x:v>Completed activities contribute to progress.</x:v>
      </x:c>
      <x:c r="N20" s="8" t="str">
        <x:v>Not Run</x:v>
      </x:c>
      <x:c r="O20" s="8" t="str"/>
      <x:c r="P20" s="9" t="str"/>
      <x:c r="Q20" s="11" t="str"/>
      <x:c r="R20" s="11" t="str"/>
      <x:c r="S20" s="8" t="str"/>
      <x:c r="T20" s="11" t="str"/>
    </x:row>
    <x:row r="21" ht="38" customHeight="1">
      <x:c r="A21" s="10" t="str">
        <x:v>TC-ACCESS-008</x:v>
      </x:c>
      <x:c r="B21" s="8" t="str">
        <x:v>261005-Skenario Ujifungsi.docx</x:v>
      </x:c>
      <x:c r="C21" s="8" t="str">
        <x:v>Course Access</x:v>
      </x:c>
      <x:c r="D21" s="8" t="str">
        <x:v>Progress</x:v>
      </x:c>
      <x:c r="E21" s="8" t="str">
        <x:v>Resume course after refresh or relogin</x:v>
      </x:c>
      <x:c r="F21" s="8" t="str">
        <x:v>Boundary</x:v>
      </x:c>
      <x:c r="G21" s="8" t="str">
        <x:v>High</x:v>
      </x:c>
      <x:c r="H21" s="8" t="str">
        <x:v>Peserta</x:v>
      </x:c>
      <x:c r="I21" s="11" t="str">
        <x:v>User has partial progress</x:v>
      </x:c>
      <x:c r="J21" s="11" t="str">
        <x:v>Partial progress snapshot</x:v>
      </x:c>
      <x:c r="K21" s="11" t="str">
        <x:v>1. Complete part of an activity.
2. Refresh, logout, and login again.
3. Reopen the course.</x:v>
      </x:c>
      <x:c r="L21" s="11" t="str">
        <x:v>Progress is preserved and the user can resume from the correct state.</x:v>
      </x:c>
      <x:c r="M21" s="11" t="str">
        <x:v>Progress persists across sessions.</x:v>
      </x:c>
      <x:c r="N21" s="8" t="str">
        <x:v>Not Run</x:v>
      </x:c>
      <x:c r="O21" s="8" t="str"/>
      <x:c r="P21" s="9" t="str"/>
      <x:c r="Q21" s="11" t="str"/>
      <x:c r="R21" s="11" t="str"/>
      <x:c r="S21" s="8" t="str"/>
      <x:c r="T21" s="11" t="str"/>
    </x:row>
    <x:row r="22" ht="38" customHeight="1">
      <x:c r="A22" s="10" t="str">
        <x:v>TC-ACCESS-009</x:v>
      </x:c>
      <x:c r="B22" s="8" t="str">
        <x:v>261005-Skenario Ujifungsi.docx</x:v>
      </x:c>
      <x:c r="C22" s="8" t="str">
        <x:v>Course Access</x:v>
      </x:c>
      <x:c r="D22" s="8" t="str">
        <x:v>Progress</x:v>
      </x:c>
      <x:c r="E22" s="8" t="str">
        <x:v>Progress from another device/browser</x:v>
      </x:c>
      <x:c r="F22" s="8" t="str">
        <x:v>Integration</x:v>
      </x:c>
      <x:c r="G22" s="8" t="str">
        <x:v>Medium</x:v>
      </x:c>
      <x:c r="H22" s="8" t="str">
        <x:v>Peserta</x:v>
      </x:c>
      <x:c r="I22" s="11" t="str">
        <x:v>User has partial progress and access to a second browser/device</x:v>
      </x:c>
      <x:c r="J22" s="11" t="str">
        <x:v>Same account; two clients</x:v>
      </x:c>
      <x:c r="K22" s="11" t="str">
        <x:v>1. Make progress in client A.
2. Open the course in client B.</x:v>
      </x:c>
      <x:c r="L22" s="11" t="str">
        <x:v>The defined synchronization behavior is met without overwriting newer progress incorrectly.</x:v>
      </x:c>
      <x:c r="M22" s="11" t="str">
        <x:v>Progress is consistent across clients.</x:v>
      </x:c>
      <x:c r="N22" s="8" t="str">
        <x:v>Not Run</x:v>
      </x:c>
      <x:c r="O22" s="8" t="str"/>
      <x:c r="P22" s="9" t="str"/>
      <x:c r="Q22" s="11" t="str"/>
      <x:c r="R22" s="11" t="str"/>
      <x:c r="S22" s="8" t="str"/>
      <x:c r="T22" s="11" t="str"/>
    </x:row>
    <x:row r="23" ht="38" customHeight="1">
      <x:c r="A23" s="10" t="str">
        <x:v>TC-ACCESS-010</x:v>
      </x:c>
      <x:c r="B23" s="8" t="str">
        <x:v>261005-Skenario Ujifungsi.docx</x:v>
      </x:c>
      <x:c r="C23" s="8" t="str">
        <x:v>Course Access</x:v>
      </x:c>
      <x:c r="D23" s="8" t="str">
        <x:v>Prerequisites</x:v>
      </x:c>
      <x:c r="E23" s="8" t="str">
        <x:v>Activity sequence or prerequisite enforcement</x:v>
      </x:c>
      <x:c r="F23" s="8" t="str">
        <x:v>Negative</x:v>
      </x:c>
      <x:c r="G23" s="8" t="str">
        <x:v>High</x:v>
      </x:c>
      <x:c r="H23" s="8" t="str">
        <x:v>Peserta</x:v>
      </x:c>
      <x:c r="I23" s="11" t="str">
        <x:v>Course has a prerequisite activity sequence</x:v>
      </x:c>
      <x:c r="J23" s="11" t="str">
        <x:v>Attempt to open a later locked activity</x:v>
      </x:c>
      <x:c r="K23" s="11" t="str">
        <x:v>1. Enroll.
2. Try to open an activity before its prerequisite.</x:v>
      </x:c>
      <x:c r="L23" s="11" t="str">
        <x:v>Access is blocked or allowed according to the configured prerequisite rule, with a clear explanation.</x:v>
      </x:c>
      <x:c r="M23" s="11" t="str">
        <x:v>Prerequisite rules are enforced consistently.</x:v>
      </x:c>
      <x:c r="N23" s="8" t="str">
        <x:v>Not Run</x:v>
      </x:c>
      <x:c r="O23" s="8" t="str"/>
      <x:c r="P23" s="9" t="str"/>
      <x:c r="Q23" s="11" t="str"/>
      <x:c r="R23" s="11" t="str"/>
      <x:c r="S23" s="8" t="str"/>
      <x:c r="T23" s="11" t="str"/>
    </x:row>
    <x:row r="24" ht="38" customHeight="1">
      <x:c r="A24" s="10" t="str">
        <x:v>TC-ACT-001</x:v>
      </x:c>
      <x:c r="B24" s="8" t="str">
        <x:v>261005-Skenario Ujifungsi.docx</x:v>
      </x:c>
      <x:c r="C24" s="8" t="str">
        <x:v>Learning Activities</x:v>
      </x:c>
      <x:c r="D24" s="8" t="str">
        <x:v>Course detail</x:v>
      </x:c>
      <x:c r="E24" s="8" t="str">
        <x:v>All curriculum activities appear</x:v>
      </x:c>
      <x:c r="F24" s="8" t="str">
        <x:v>Positive</x:v>
      </x:c>
      <x:c r="G24" s="8" t="str">
        <x:v>Critical</x:v>
      </x:c>
      <x:c r="H24" s="8" t="str">
        <x:v>Peserta</x:v>
      </x:c>
      <x:c r="I24" s="11" t="str">
        <x:v>Published course has Pre-Test, Quiz, Literatur, Zoom, Assignment, and Video activities</x:v>
      </x:c>
      <x:c r="J24" s="11" t="str">
        <x:v>Reference course with all activity types</x:v>
      </x:c>
      <x:c r="K24" s="11" t="str">
        <x:v>1. Enroll.
2. Open course detail.
3. Review the activity list.</x:v>
      </x:c>
      <x:c r="L24" s="11" t="str">
        <x:v>All required activities appear in the configured order with correct names and types.</x:v>
      </x:c>
      <x:c r="M24" s="11" t="str">
        <x:v>Course detail reflects the published curriculum.</x:v>
      </x:c>
      <x:c r="N24" s="8" t="str">
        <x:v>Not Run</x:v>
      </x:c>
      <x:c r="O24" s="8" t="str"/>
      <x:c r="P24" s="9" t="str"/>
      <x:c r="Q24" s="11" t="str"/>
      <x:c r="R24" s="11" t="str"/>
      <x:c r="S24" s="8" t="str"/>
      <x:c r="T24" s="11" t="str"/>
    </x:row>
    <x:row r="25" ht="38" customHeight="1">
      <x:c r="A25" s="10" t="str">
        <x:v>TC-ACT-002</x:v>
      </x:c>
      <x:c r="B25" s="8" t="str">
        <x:v>261005-Skenario Ujifungsi.docx</x:v>
      </x:c>
      <x:c r="C25" s="8" t="str">
        <x:v>Learning Activities</x:v>
      </x:c>
      <x:c r="D25" s="8" t="str">
        <x:v>Status</x:v>
      </x:c>
      <x:c r="E25" s="8" t="str">
        <x:v>Activity statuses are displayed</x:v>
      </x:c>
      <x:c r="F25" s="8" t="str">
        <x:v>Positive</x:v>
      </x:c>
      <x:c r="G25" s="8" t="str">
        <x:v>High</x:v>
      </x:c>
      <x:c r="H25" s="8" t="str">
        <x:v>Peserta</x:v>
      </x:c>
      <x:c r="I25" s="11" t="str">
        <x:v>Course contains incomplete, in-progress, and completed activities</x:v>
      </x:c>
      <x:c r="J25" s="11" t="str">
        <x:v>Status fixture for each activity state</x:v>
      </x:c>
      <x:c r="K25" s="11" t="str">
        <x:v>1. Open course detail.
2. Inspect each activity status.</x:v>
      </x:c>
      <x:c r="L25" s="11" t="str">
        <x:v>Each activity shows the correct status and status changes after completion.</x:v>
      </x:c>
      <x:c r="M25" s="11" t="str">
        <x:v>Activity status is visible and accurate.</x:v>
      </x:c>
      <x:c r="N25" s="8" t="str">
        <x:v>Not Run</x:v>
      </x:c>
      <x:c r="O25" s="8" t="str"/>
      <x:c r="P25" s="9" t="str"/>
      <x:c r="Q25" s="11" t="str"/>
      <x:c r="R25" s="11" t="str"/>
      <x:c r="S25" s="8" t="str"/>
      <x:c r="T25" s="11" t="str"/>
    </x:row>
    <x:row r="26" ht="38" customHeight="1">
      <x:c r="A26" s="10" t="str">
        <x:v>TC-ACT-003</x:v>
      </x:c>
      <x:c r="B26" s="8" t="str">
        <x:v>261005-Skenario Ujifungsi.docx</x:v>
      </x:c>
      <x:c r="C26" s="8" t="str">
        <x:v>Learning Activities</x:v>
      </x:c>
      <x:c r="D26" s="8" t="str">
        <x:v>Pre-Test</x:v>
      </x:c>
      <x:c r="E26" s="8" t="str">
        <x:v>Open and start Pre-Test</x:v>
      </x:c>
      <x:c r="F26" s="8" t="str">
        <x:v>Positive</x:v>
      </x:c>
      <x:c r="G26" s="8" t="str">
        <x:v>High</x:v>
      </x:c>
      <x:c r="H26" s="8" t="str">
        <x:v>Peserta</x:v>
      </x:c>
      <x:c r="I26" s="11" t="str">
        <x:v>Pre-Test is published and available</x:v>
      </x:c>
      <x:c r="J26" s="11" t="str">
        <x:v>Pre-Test with configured questions</x:v>
      </x:c>
      <x:c r="K26" s="11" t="str">
        <x:v>1. Open Pre-Test.
2. Start the attempt.</x:v>
      </x:c>
      <x:c r="L26" s="11" t="str">
        <x:v>Instructions, question count, timer, and start state are displayed correctly.</x:v>
      </x:c>
      <x:c r="M26" s="11" t="str">
        <x:v>Published tests can be started by eligible users.</x:v>
      </x:c>
      <x:c r="N26" s="8" t="str">
        <x:v>Not Run</x:v>
      </x:c>
      <x:c r="O26" s="8" t="str"/>
      <x:c r="P26" s="9" t="str"/>
      <x:c r="Q26" s="11" t="str"/>
      <x:c r="R26" s="11" t="str"/>
      <x:c r="S26" s="8" t="str"/>
      <x:c r="T26" s="11" t="str"/>
    </x:row>
    <x:row r="27" ht="38" customHeight="1">
      <x:c r="A27" s="10" t="str">
        <x:v>TC-ACT-004</x:v>
      </x:c>
      <x:c r="B27" s="8" t="str">
        <x:v>261005-Skenario Ujifungsi.docx</x:v>
      </x:c>
      <x:c r="C27" s="8" t="str">
        <x:v>Learning Activities</x:v>
      </x:c>
      <x:c r="D27" s="8" t="str">
        <x:v>Quiz</x:v>
      </x:c>
      <x:c r="E27" s="8" t="str">
        <x:v>Open and answer a quiz</x:v>
      </x:c>
      <x:c r="F27" s="8" t="str">
        <x:v>Positive</x:v>
      </x:c>
      <x:c r="G27" s="8" t="str">
        <x:v>High</x:v>
      </x:c>
      <x:c r="H27" s="8" t="str">
        <x:v>Peserta</x:v>
      </x:c>
      <x:c r="I27" s="11" t="str">
        <x:v>Quiz is published and available</x:v>
      </x:c>
      <x:c r="J27" s="11" t="str">
        <x:v>Quiz with multiple-choice questions</x:v>
      </x:c>
      <x:c r="K27" s="11" t="str">
        <x:v>1. Open Quiz.
2. Answer several questions.
3. Navigate between questions.</x:v>
      </x:c>
      <x:c r="L27" s="11" t="str">
        <x:v>Answers are captured, navigation behaves as designed, and selected answers remain visible.</x:v>
      </x:c>
      <x:c r="M27" s="11" t="str">
        <x:v>Quiz responses are captured reliably.</x:v>
      </x:c>
      <x:c r="N27" s="8" t="str">
        <x:v>Not Run</x:v>
      </x:c>
      <x:c r="O27" s="8" t="str"/>
      <x:c r="P27" s="9" t="str"/>
      <x:c r="Q27" s="11" t="str"/>
      <x:c r="R27" s="11" t="str"/>
      <x:c r="S27" s="8" t="str"/>
      <x:c r="T27" s="11" t="str"/>
    </x:row>
    <x:row r="28" ht="38" customHeight="1">
      <x:c r="A28" s="10" t="str">
        <x:v>TC-ACT-005</x:v>
      </x:c>
      <x:c r="B28" s="8" t="str">
        <x:v>261005-Skenario Ujifungsi.docx</x:v>
      </x:c>
      <x:c r="C28" s="8" t="str">
        <x:v>Learning Activities</x:v>
      </x:c>
      <x:c r="D28" s="8" t="str">
        <x:v>Quiz</x:v>
      </x:c>
      <x:c r="E28" s="8" t="str">
        <x:v>Submit quiz with unanswered questions</x:v>
      </x:c>
      <x:c r="F28" s="8" t="str">
        <x:v>Negative</x:v>
      </x:c>
      <x:c r="G28" s="8" t="str">
        <x:v>High</x:v>
      </x:c>
      <x:c r="H28" s="8" t="str">
        <x:v>Peserta</x:v>
      </x:c>
      <x:c r="I28" s="11" t="str">
        <x:v>Quiz contains multiple questions</x:v>
      </x:c>
      <x:c r="J28" s="11" t="str">
        <x:v>Leave at least one question blank</x:v>
      </x:c>
      <x:c r="K28" s="11" t="str">
        <x:v>1. Start quiz.
2. Leave one or more questions blank.
3. Submit.</x:v>
      </x:c>
      <x:c r="L28" s="11" t="str">
        <x:v>System follows the configured rule: blocks submission with clear guidance or submits and marks unanswered questions correctly.</x:v>
      </x:c>
      <x:c r="M28" s="11" t="str">
        <x:v>Unanswered questions have a defined submission rule.</x:v>
      </x:c>
      <x:c r="N28" s="8" t="str">
        <x:v>Not Run</x:v>
      </x:c>
      <x:c r="O28" s="8" t="str"/>
      <x:c r="P28" s="9" t="str"/>
      <x:c r="Q28" s="11" t="str"/>
      <x:c r="R28" s="11" t="str"/>
      <x:c r="S28" s="8" t="str"/>
      <x:c r="T28" s="11" t="str"/>
    </x:row>
    <x:row r="29" ht="38" customHeight="1">
      <x:c r="A29" s="10" t="str">
        <x:v>TC-ACT-006</x:v>
      </x:c>
      <x:c r="B29" s="8" t="str">
        <x:v>261005-Skenario Ujifungsi.docx</x:v>
      </x:c>
      <x:c r="C29" s="8" t="str">
        <x:v>Learning Activities</x:v>
      </x:c>
      <x:c r="D29" s="8" t="str">
        <x:v>Quiz</x:v>
      </x:c>
      <x:c r="E29" s="8" t="str">
        <x:v>Quiz timer counts down accurately</x:v>
      </x:c>
      <x:c r="F29" s="8" t="str">
        <x:v>Boundary</x:v>
      </x:c>
      <x:c r="G29" s="8" t="str">
        <x:v>High</x:v>
      </x:c>
      <x:c r="H29" s="8" t="str">
        <x:v>Peserta</x:v>
      </x:c>
      <x:c r="I29" s="11" t="str">
        <x:v>Quiz duration is configured</x:v>
      </x:c>
      <x:c r="J29" s="11" t="str">
        <x:v>Quiz with short test duration</x:v>
      </x:c>
      <x:c r="K29" s="11" t="str">
        <x:v>1. Start the quiz.
2. Observe countdown at start, middle, and near zero.</x:v>
      </x:c>
      <x:c r="L29" s="11" t="str">
        <x:v>Countdown is visible, progresses from the server-defined start time, and does not reset unexpectedly.</x:v>
      </x:c>
      <x:c r="M29" s="11" t="str">
        <x:v>Quiz timing is accurate and server-authoritative.</x:v>
      </x:c>
      <x:c r="N29" s="8" t="str">
        <x:v>Not Run</x:v>
      </x:c>
      <x:c r="O29" s="8" t="str"/>
      <x:c r="P29" s="9" t="str"/>
      <x:c r="Q29" s="11" t="str"/>
      <x:c r="R29" s="11" t="str"/>
      <x:c r="S29" s="8" t="str"/>
      <x:c r="T29" s="11" t="str"/>
    </x:row>
    <x:row r="30" ht="38" customHeight="1">
      <x:c r="A30" s="10" t="str">
        <x:v>TC-ACT-007</x:v>
      </x:c>
      <x:c r="B30" s="8" t="str">
        <x:v>261005-Skenario Ujifungsi.docx</x:v>
      </x:c>
      <x:c r="C30" s="8" t="str">
        <x:v>Learning Activities</x:v>
      </x:c>
      <x:c r="D30" s="8" t="str">
        <x:v>Quiz</x:v>
      </x:c>
      <x:c r="E30" s="8" t="str">
        <x:v>Timer reaches zero</x:v>
      </x:c>
      <x:c r="F30" s="8" t="str">
        <x:v>Boundary</x:v>
      </x:c>
      <x:c r="G30" s="8" t="str">
        <x:v>Critical</x:v>
      </x:c>
      <x:c r="H30" s="8" t="str">
        <x:v>Peserta</x:v>
      </x:c>
      <x:c r="I30" s="11" t="str">
        <x:v>Quiz is in progress</x:v>
      </x:c>
      <x:c r="J30" s="11" t="str">
        <x:v>Allow timer to expire</x:v>
      </x:c>
      <x:c r="K30" s="11" t="str">
        <x:v>1. Start quiz.
2. Let timer reach zero without submitting.</x:v>
      </x:c>
      <x:c r="L30" s="11" t="str">
        <x:v>System auto-submits or closes according to policy, records the attempt exactly once, and stores the correct score/status.</x:v>
      </x:c>
      <x:c r="M30" s="11" t="str">
        <x:v>Timeout behavior is deterministic.</x:v>
      </x:c>
      <x:c r="N30" s="8" t="str">
        <x:v>Not Run</x:v>
      </x:c>
      <x:c r="O30" s="8" t="str"/>
      <x:c r="P30" s="9" t="str"/>
      <x:c r="Q30" s="11" t="str"/>
      <x:c r="R30" s="11" t="str"/>
      <x:c r="S30" s="8" t="str"/>
      <x:c r="T30" s="11" t="str"/>
    </x:row>
    <x:row r="31" ht="38" customHeight="1">
      <x:c r="A31" s="10" t="str">
        <x:v>TC-ACT-008</x:v>
      </x:c>
      <x:c r="B31" s="8" t="str">
        <x:v>261005-Skenario Ujifungsi.docx</x:v>
      </x:c>
      <x:c r="C31" s="8" t="str">
        <x:v>Learning Activities</x:v>
      </x:c>
      <x:c r="D31" s="8" t="str">
        <x:v>Quiz</x:v>
      </x:c>
      <x:c r="E31" s="8" t="str">
        <x:v>Score is calculated after submission</x:v>
      </x:c>
      <x:c r="F31" s="8" t="str">
        <x:v>Positive</x:v>
      </x:c>
      <x:c r="G31" s="8" t="str">
        <x:v>Critical</x:v>
      </x:c>
      <x:c r="H31" s="8" t="str">
        <x:v>Peserta</x:v>
      </x:c>
      <x:c r="I31" s="11" t="str">
        <x:v>Quiz answer key and scoring rule are configured</x:v>
      </x:c>
      <x:c r="J31" s="11" t="str">
        <x:v>Known correct and incorrect answers</x:v>
      </x:c>
      <x:c r="K31" s="11" t="str">
        <x:v>1. Submit a quiz with known answers.
2. Review result.</x:v>
      </x:c>
      <x:c r="L31" s="11" t="str">
        <x:v>Score is calculated from the configured answer key and displayed/stored correctly.</x:v>
      </x:c>
      <x:c r="M31" s="11" t="str">
        <x:v>Quiz scoring is automatic and accurate.</x:v>
      </x:c>
      <x:c r="N31" s="8" t="str">
        <x:v>Not Run</x:v>
      </x:c>
      <x:c r="O31" s="8" t="str"/>
      <x:c r="P31" s="9" t="str"/>
      <x:c r="Q31" s="11" t="str"/>
      <x:c r="R31" s="11" t="str"/>
      <x:c r="S31" s="8" t="str"/>
      <x:c r="T31" s="11" t="str"/>
    </x:row>
    <x:row r="32" ht="38" customHeight="1">
      <x:c r="A32" s="10" t="str">
        <x:v>TC-ACT-009</x:v>
      </x:c>
      <x:c r="B32" s="8" t="str">
        <x:v>261005-Skenario Ujifungsi.docx</x:v>
      </x:c>
      <x:c r="C32" s="8" t="str">
        <x:v>Learning Activities</x:v>
      </x:c>
      <x:c r="D32" s="8" t="str">
        <x:v>Quiz</x:v>
      </x:c>
      <x:c r="E32" s="8" t="str">
        <x:v>Score boundary at pass threshold</x:v>
      </x:c>
      <x:c r="F32" s="8" t="str">
        <x:v>Boundary</x:v>
      </x:c>
      <x:c r="G32" s="8" t="str">
        <x:v>Critical</x:v>
      </x:c>
      <x:c r="H32" s="8" t="str">
        <x:v>Peserta</x:v>
      </x:c>
      <x:c r="I32" s="11" t="str">
        <x:v>Pass threshold is configured</x:v>
      </x:c>
      <x:c r="J32" s="11" t="str">
        <x:v>Scores at threshold minus one, threshold, and threshold plus one</x:v>
      </x:c>
      <x:c r="K32" s="11" t="str">
        <x:v>1. Execute attempts with each boundary score.
2. Review pass/fail status.</x:v>
      </x:c>
      <x:c r="L32" s="11" t="str">
        <x:v>Status matches the exact configured boundary rule, including equality at the threshold.</x:v>
      </x:c>
      <x:c r="M32" s="11" t="str">
        <x:v>Pass/fail boundary is explicit.</x:v>
      </x:c>
      <x:c r="N32" s="8" t="str">
        <x:v>Not Run</x:v>
      </x:c>
      <x:c r="O32" s="8" t="str"/>
      <x:c r="P32" s="9" t="str"/>
      <x:c r="Q32" s="11" t="str"/>
      <x:c r="R32" s="11" t="str"/>
      <x:c r="S32" s="8" t="str"/>
      <x:c r="T32" s="11" t="str"/>
    </x:row>
    <x:row r="33" ht="38" customHeight="1">
      <x:c r="A33" s="10" t="str">
        <x:v>TC-ACT-010</x:v>
      </x:c>
      <x:c r="B33" s="8" t="str">
        <x:v>261005-Skenario Ujifungsi.docx</x:v>
      </x:c>
      <x:c r="C33" s="8" t="str">
        <x:v>Learning Activities</x:v>
      </x:c>
      <x:c r="D33" s="8" t="str">
        <x:v>Quiz</x:v>
      </x:c>
      <x:c r="E33" s="8" t="str">
        <x:v>Refresh or browser close during quiz</x:v>
      </x:c>
      <x:c r="F33" s="8" t="str">
        <x:v>Recovery</x:v>
      </x:c>
      <x:c r="G33" s="8" t="str">
        <x:v>High</x:v>
      </x:c>
      <x:c r="H33" s="8" t="str">
        <x:v>Peserta</x:v>
      </x:c>
      <x:c r="I33" s="11" t="str">
        <x:v>Quiz supports or disallows resume according to policy</x:v>
      </x:c>
      <x:c r="J33" s="11" t="str">
        <x:v>In-progress quiz</x:v>
      </x:c>
      <x:c r="K33" s="11" t="str">
        <x:v>1. Answer some questions.
2. Refresh or close the browser.
3. Reopen the quiz.</x:v>
      </x:c>
      <x:c r="L33" s="11" t="str">
        <x:v>System resumes, discards, or submits according to the defined rule without corrupting the attempt.</x:v>
      </x:c>
      <x:c r="M33" s="11" t="str">
        <x:v>Interrupted attempts have a defined recovery rule.</x:v>
      </x:c>
      <x:c r="N33" s="8" t="str">
        <x:v>Not Run</x:v>
      </x:c>
      <x:c r="O33" s="8" t="str"/>
      <x:c r="P33" s="9" t="str"/>
      <x:c r="Q33" s="11" t="str"/>
      <x:c r="R33" s="11" t="str"/>
      <x:c r="S33" s="8" t="str"/>
      <x:c r="T33" s="11" t="str"/>
    </x:row>
    <x:row r="34" ht="38" customHeight="1">
      <x:c r="A34" s="10" t="str">
        <x:v>TC-ACT-011</x:v>
      </x:c>
      <x:c r="B34" s="8" t="str">
        <x:v>261005-Skenario Ujifungsi.docx</x:v>
      </x:c>
      <x:c r="C34" s="8" t="str">
        <x:v>Learning Activities</x:v>
      </x:c>
      <x:c r="D34" s="8" t="str">
        <x:v>Quiz</x:v>
      </x:c>
      <x:c r="E34" s="8" t="str">
        <x:v>Double-submit quiz</x:v>
      </x:c>
      <x:c r="F34" s="8" t="str">
        <x:v>Security</x:v>
      </x:c>
      <x:c r="G34" s="8" t="str">
        <x:v>High</x:v>
      </x:c>
      <x:c r="H34" s="8" t="str">
        <x:v>Peserta</x:v>
      </x:c>
      <x:c r="I34" s="11" t="str">
        <x:v>Quiz is ready for submission</x:v>
      </x:c>
      <x:c r="J34" s="11" t="str">
        <x:v>Rapid repeated submit clicks</x:v>
      </x:c>
      <x:c r="K34" s="11" t="str">
        <x:v>1. Complete quiz.
2. Click Submit repeatedly or resend the request.</x:v>
      </x:c>
      <x:c r="L34" s="11" t="str">
        <x:v>Only one result and one attempt are recorded.</x:v>
      </x:c>
      <x:c r="M34" s="11" t="str">
        <x:v>Submission is idempotent.</x:v>
      </x:c>
      <x:c r="N34" s="8" t="str">
        <x:v>Not Run</x:v>
      </x:c>
      <x:c r="O34" s="8" t="str"/>
      <x:c r="P34" s="9" t="str"/>
      <x:c r="Q34" s="11" t="str"/>
      <x:c r="R34" s="11" t="str"/>
      <x:c r="S34" s="8" t="str"/>
      <x:c r="T34" s="11" t="str"/>
    </x:row>
    <x:row r="35" ht="38" customHeight="1">
      <x:c r="A35" s="10" t="str">
        <x:v>TC-ACT-012</x:v>
      </x:c>
      <x:c r="B35" s="8" t="str">
        <x:v>261005-Skenario Ujifungsi.docx</x:v>
      </x:c>
      <x:c r="C35" s="8" t="str">
        <x:v>Learning Activities</x:v>
      </x:c>
      <x:c r="D35" s="8" t="str">
        <x:v>Literature</x:v>
      </x:c>
      <x:c r="E35" s="8" t="str">
        <x:v>Read or download valid literature PDF</x:v>
      </x:c>
      <x:c r="F35" s="8" t="str">
        <x:v>Positive</x:v>
      </x:c>
      <x:c r="G35" s="8" t="str">
        <x:v>High</x:v>
      </x:c>
      <x:c r="H35" s="8" t="str">
        <x:v>Peserta</x:v>
      </x:c>
      <x:c r="I35" s="11" t="str">
        <x:v>Published PDF literature exists</x:v>
      </x:c>
      <x:c r="J35" s="11" t="str">
        <x:v>Valid PDF within configured size</x:v>
      </x:c>
      <x:c r="K35" s="11" t="str">
        <x:v>1. Open literature activity.
2. View/download the file.</x:v>
      </x:c>
      <x:c r="L35" s="11" t="str">
        <x:v>PDF opens or downloads successfully, remains readable, and completion status follows the configured rule.</x:v>
      </x:c>
      <x:c r="M35" s="11" t="str">
        <x:v>Published literature is accessible to eligible users.</x:v>
      </x:c>
      <x:c r="N35" s="8" t="str">
        <x:v>Not Run</x:v>
      </x:c>
      <x:c r="O35" s="8" t="str"/>
      <x:c r="P35" s="9" t="str"/>
      <x:c r="Q35" s="11" t="str"/>
      <x:c r="R35" s="11" t="str"/>
      <x:c r="S35" s="8" t="str"/>
      <x:c r="T35" s="11" t="str"/>
    </x:row>
    <x:row r="36" ht="38" customHeight="1">
      <x:c r="A36" s="10" t="str">
        <x:v>TC-ACT-013</x:v>
      </x:c>
      <x:c r="B36" s="8" t="str">
        <x:v>261005-Skenario Ujifungsi.docx</x:v>
      </x:c>
      <x:c r="C36" s="8" t="str">
        <x:v>Learning Activities</x:v>
      </x:c>
      <x:c r="D36" s="8" t="str">
        <x:v>Literature</x:v>
      </x:c>
      <x:c r="E36" s="8" t="str">
        <x:v>Literature link or file unavailable</x:v>
      </x:c>
      <x:c r="F36" s="8" t="str">
        <x:v>Negative</x:v>
      </x:c>
      <x:c r="G36" s="8" t="str">
        <x:v>Medium</x:v>
      </x:c>
      <x:c r="H36" s="8" t="str">
        <x:v>Peserta</x:v>
      </x:c>
      <x:c r="I36" s="11" t="str">
        <x:v>Test fixture contains a missing or unavailable file</x:v>
      </x:c>
      <x:c r="J36" s="11" t="str">
        <x:v>Broken/missing literature resource</x:v>
      </x:c>
      <x:c r="K36" s="11" t="str">
        <x:v>1. Open the activity.
2. Attempt to view/download.</x:v>
      </x:c>
      <x:c r="L36" s="11" t="str">
        <x:v>A friendly error is shown; the user is not presented with a broken or misleading completion state.</x:v>
      </x:c>
      <x:c r="M36" s="11" t="str">
        <x:v>Resource errors are handled visibly.</x:v>
      </x:c>
      <x:c r="N36" s="8" t="str">
        <x:v>Not Run</x:v>
      </x:c>
      <x:c r="O36" s="8" t="str"/>
      <x:c r="P36" s="9" t="str"/>
      <x:c r="Q36" s="11" t="str"/>
      <x:c r="R36" s="11" t="str"/>
      <x:c r="S36" s="8" t="str"/>
      <x:c r="T36" s="11" t="str"/>
    </x:row>
    <x:row r="37" ht="38" customHeight="1">
      <x:c r="A37" s="10" t="str">
        <x:v>TC-ACT-014</x:v>
      </x:c>
      <x:c r="B37" s="8" t="str">
        <x:v>261005-Skenario Ujifungsi.docx</x:v>
      </x:c>
      <x:c r="C37" s="8" t="str">
        <x:v>Learning Activities</x:v>
      </x:c>
      <x:c r="D37" s="8" t="str">
        <x:v>Video</x:v>
      </x:c>
      <x:c r="E37" s="8" t="str">
        <x:v>Play training video</x:v>
      </x:c>
      <x:c r="F37" s="8" t="str">
        <x:v>Positive</x:v>
      </x:c>
      <x:c r="G37" s="8" t="str">
        <x:v>High</x:v>
      </x:c>
      <x:c r="H37" s="8" t="str">
        <x:v>Peserta</x:v>
      </x:c>
      <x:c r="I37" s="11" t="str">
        <x:v>Published video exists</x:v>
      </x:c>
      <x:c r="J37" s="11" t="str">
        <x:v>Valid video with known duration</x:v>
      </x:c>
      <x:c r="K37" s="11" t="str">
        <x:v>1. Open video activity.
2. Play, pause, seek, and resume.</x:v>
      </x:c>
      <x:c r="L37" s="11" t="str">
        <x:v>Video controls work, playback is stable, and progress/completion follows the configured watch rule.</x:v>
      </x:c>
      <x:c r="M37" s="11" t="str">
        <x:v>Training video is playable and trackable.</x:v>
      </x:c>
      <x:c r="N37" s="8" t="str">
        <x:v>Not Run</x:v>
      </x:c>
      <x:c r="O37" s="8" t="str"/>
      <x:c r="P37" s="9" t="str"/>
      <x:c r="Q37" s="11" t="str"/>
      <x:c r="R37" s="11" t="str"/>
      <x:c r="S37" s="8" t="str"/>
      <x:c r="T37" s="11" t="str"/>
    </x:row>
    <x:row r="38" ht="38" customHeight="1">
      <x:c r="A38" s="10" t="str">
        <x:v>TC-ACT-015</x:v>
      </x:c>
      <x:c r="B38" s="8" t="str">
        <x:v>261005-Skenario Ujifungsi.docx</x:v>
      </x:c>
      <x:c r="C38" s="8" t="str">
        <x:v>Learning Activities</x:v>
      </x:c>
      <x:c r="D38" s="8" t="str">
        <x:v>Video</x:v>
      </x:c>
      <x:c r="E38" s="8" t="str">
        <x:v>Complete video with skip/seek</x:v>
      </x:c>
      <x:c r="F38" s="8" t="str">
        <x:v>Boundary</x:v>
      </x:c>
      <x:c r="G38" s="8" t="str">
        <x:v>Medium</x:v>
      </x:c>
      <x:c r="H38" s="8" t="str">
        <x:v>Peserta</x:v>
      </x:c>
      <x:c r="I38" s="11" t="str">
        <x:v>Video completion threshold is configured</x:v>
      </x:c>
      <x:c r="J38" s="11" t="str">
        <x:v>Seek to near end without watching full content</x:v>
      </x:c>
      <x:c r="K38" s="11" t="str">
        <x:v>1. Open the video.
2. Seek directly near the end.
3. Observe completion state.</x:v>
      </x:c>
      <x:c r="L38" s="11" t="str">
        <x:v>Completion status follows the configured threshold and cannot be bypassed unexpectedly.</x:v>
      </x:c>
      <x:c r="M38" s="11" t="str">
        <x:v>Video completion is controlled by an explicit rule.</x:v>
      </x:c>
      <x:c r="N38" s="8" t="str">
        <x:v>Not Run</x:v>
      </x:c>
      <x:c r="O38" s="8" t="str"/>
      <x:c r="P38" s="9" t="str"/>
      <x:c r="Q38" s="11" t="str"/>
      <x:c r="R38" s="11" t="str"/>
      <x:c r="S38" s="8" t="str"/>
      <x:c r="T38" s="11" t="str"/>
    </x:row>
    <x:row r="39" ht="38" customHeight="1">
      <x:c r="A39" s="10" t="str">
        <x:v>TC-ACT-016</x:v>
      </x:c>
      <x:c r="B39" s="8" t="str">
        <x:v>261005-Skenario Ujifungsi.docx</x:v>
      </x:c>
      <x:c r="C39" s="8" t="str">
        <x:v>Learning Activities</x:v>
      </x:c>
      <x:c r="D39" s="8" t="str">
        <x:v>Zoom</x:v>
      </x:c>
      <x:c r="E39" s="8" t="str">
        <x:v>Open scheduled Zoom activity</x:v>
      </x:c>
      <x:c r="F39" s="8" t="str">
        <x:v>Positive</x:v>
      </x:c>
      <x:c r="G39" s="8" t="str">
        <x:v>Medium</x:v>
      </x:c>
      <x:c r="H39" s="8" t="str">
        <x:v>Peserta</x:v>
      </x:c>
      <x:c r="I39" s="11" t="str">
        <x:v>Zoom activity has a valid link and future schedule</x:v>
      </x:c>
      <x:c r="J39" s="11" t="str">
        <x:v>Meeting link, date, time, duration</x:v>
      </x:c>
      <x:c r="K39" s="11" t="str">
        <x:v>1. Open Zoom activity.
2. Inspect schedule.
3. Click the meeting link.</x:v>
      </x:c>
      <x:c r="L39" s="11" t="str">
        <x:v>Schedule is displayed in the correct timezone and the link opens the intended destination.</x:v>
      </x:c>
      <x:c r="M39" s="11" t="str">
        <x:v>Interactive meeting details are accurate.</x:v>
      </x:c>
      <x:c r="N39" s="8" t="str">
        <x:v>Not Run</x:v>
      </x:c>
      <x:c r="O39" s="8" t="str"/>
      <x:c r="P39" s="9" t="str"/>
      <x:c r="Q39" s="11" t="str"/>
      <x:c r="R39" s="11" t="str"/>
      <x:c r="S39" s="8" t="str"/>
      <x:c r="T39" s="11" t="str"/>
    </x:row>
    <x:row r="40" ht="38" customHeight="1">
      <x:c r="A40" s="10" t="str">
        <x:v>TC-ACT-017</x:v>
      </x:c>
      <x:c r="B40" s="8" t="str">
        <x:v>261005-Skenario Ujifungsi.docx</x:v>
      </x:c>
      <x:c r="C40" s="8" t="str">
        <x:v>Learning Activities</x:v>
      </x:c>
      <x:c r="D40" s="8" t="str">
        <x:v>Assignment</x:v>
      </x:c>
      <x:c r="E40" s="8" t="str">
        <x:v>Open assignment instructions</x:v>
      </x:c>
      <x:c r="F40" s="8" t="str">
        <x:v>Positive</x:v>
      </x:c>
      <x:c r="G40" s="8" t="str">
        <x:v>High</x:v>
      </x:c>
      <x:c r="H40" s="8" t="str">
        <x:v>Peserta</x:v>
      </x:c>
      <x:c r="I40" s="11" t="str">
        <x:v>Assignment is published</x:v>
      </x:c>
      <x:c r="J40" s="11" t="str">
        <x:v>Assignment with allowed formats and deadline</x:v>
      </x:c>
      <x:c r="K40" s="11" t="str">
        <x:v>1. Open assignment.
2. Review instructions and constraints.</x:v>
      </x:c>
      <x:c r="L40" s="11" t="str">
        <x:v>Instructions, allowed formats, maximum size, and deadline are visible and consistent with configuration.</x:v>
      </x:c>
      <x:c r="M40" s="11" t="str">
        <x:v>Assignment constraints are communicated to the participant.</x:v>
      </x:c>
      <x:c r="N40" s="8" t="str">
        <x:v>Not Run</x:v>
      </x:c>
      <x:c r="O40" s="8" t="str"/>
      <x:c r="P40" s="9" t="str"/>
      <x:c r="Q40" s="11" t="str"/>
      <x:c r="R40" s="11" t="str"/>
      <x:c r="S40" s="8" t="str"/>
      <x:c r="T40" s="11" t="str"/>
    </x:row>
    <x:row r="41" ht="38" customHeight="1">
      <x:c r="A41" s="10" t="str">
        <x:v>TC-ACT-018</x:v>
      </x:c>
      <x:c r="B41" s="8" t="str">
        <x:v>261005-Skenario Ujifungsi.docx</x:v>
      </x:c>
      <x:c r="C41" s="8" t="str">
        <x:v>Learning Activities</x:v>
      </x:c>
      <x:c r="D41" s="8" t="str">
        <x:v>Notifications</x:v>
      </x:c>
      <x:c r="E41" s="8" t="str">
        <x:v>Completion notification after activity</x:v>
      </x:c>
      <x:c r="F41" s="8" t="str">
        <x:v>Integration</x:v>
      </x:c>
      <x:c r="G41" s="8" t="str">
        <x:v>Medium</x:v>
      </x:c>
      <x:c r="H41" s="8" t="str">
        <x:v>Peserta</x:v>
      </x:c>
      <x:c r="I41" s="11" t="str">
        <x:v>Notification channel is configured</x:v>
      </x:c>
      <x:c r="J41" s="11" t="str">
        <x:v>Complete a trackable activity</x:v>
      </x:c>
      <x:c r="K41" s="11" t="str">
        <x:v>1. Complete an activity.
2. Check in-app/email notification according to policy.</x:v>
      </x:c>
      <x:c r="L41" s="11" t="str">
        <x:v>Notification is sent once with the correct course/activity and status.</x:v>
      </x:c>
      <x:c r="M41" s="11" t="str">
        <x:v>Activity events trigger the configured notification.</x:v>
      </x:c>
      <x:c r="N41" s="8" t="str">
        <x:v>Not Run</x:v>
      </x:c>
      <x:c r="O41" s="8" t="str"/>
      <x:c r="P41" s="9" t="str"/>
      <x:c r="Q41" s="11" t="str"/>
      <x:c r="R41" s="11" t="str"/>
      <x:c r="S41" s="8" t="str"/>
      <x:c r="T41" s="11" t="str"/>
    </x:row>
    <x:row r="42" ht="38" customHeight="1">
      <x:c r="A42" s="10" t="str">
        <x:v>TC-ASG-001</x:v>
      </x:c>
      <x:c r="B42" s="8" t="str">
        <x:v>261005-Skenario Ujifungsi.docx</x:v>
      </x:c>
      <x:c r="C42" s="8" t="str">
        <x:v>Assignment</x:v>
      </x:c>
      <x:c r="D42" s="8" t="str">
        <x:v>Submission</x:v>
      </x:c>
      <x:c r="E42" s="8" t="str">
        <x:v>Upload valid PDF assignment</x:v>
      </x:c>
      <x:c r="F42" s="8" t="str">
        <x:v>Positive</x:v>
      </x:c>
      <x:c r="G42" s="8" t="str">
        <x:v>High</x:v>
      </x:c>
      <x:c r="H42" s="8" t="str">
        <x:v>Peserta</x:v>
      </x:c>
      <x:c r="I42" s="11" t="str">
        <x:v>Assignment is open and accepts PDF</x:v>
      </x:c>
      <x:c r="J42" s="11" t="str">
        <x:v>Valid PDF under maximum size</x:v>
      </x:c>
      <x:c r="K42" s="11" t="str">
        <x:v>1. Open assignment.
2. Upload PDF.
3. Click Kirim Tugas.</x:v>
      </x:c>
      <x:c r="L42" s="11" t="str">
        <x:v>File uploads successfully, status becomes Terkirim/Menunggu Penilaian, and confirmation is shown.</x:v>
      </x:c>
      <x:c r="M42" s="11" t="str">
        <x:v>Valid allowed file can be submitted.</x:v>
      </x:c>
      <x:c r="N42" s="8" t="str">
        <x:v>Not Run</x:v>
      </x:c>
      <x:c r="O42" s="8" t="str"/>
      <x:c r="P42" s="9" t="str"/>
      <x:c r="Q42" s="11" t="str"/>
      <x:c r="R42" s="11" t="str"/>
      <x:c r="S42" s="8" t="str"/>
      <x:c r="T42" s="11" t="str"/>
    </x:row>
    <x:row r="43" ht="38" customHeight="1">
      <x:c r="A43" s="10" t="str">
        <x:v>TC-ASG-002</x:v>
      </x:c>
      <x:c r="B43" s="8" t="str">
        <x:v>261005-Skenario Ujifungsi.docx</x:v>
      </x:c>
      <x:c r="C43" s="8" t="str">
        <x:v>Assignment</x:v>
      </x:c>
      <x:c r="D43" s="8" t="str">
        <x:v>Submission</x:v>
      </x:c>
      <x:c r="E43" s="8" t="str">
        <x:v>Upload valid DOCX assignment</x:v>
      </x:c>
      <x:c r="F43" s="8" t="str">
        <x:v>Positive</x:v>
      </x:c>
      <x:c r="G43" s="8" t="str">
        <x:v>High</x:v>
      </x:c>
      <x:c r="H43" s="8" t="str">
        <x:v>Peserta</x:v>
      </x:c>
      <x:c r="I43" s="11" t="str">
        <x:v>Assignment is open and accepts DOCX</x:v>
      </x:c>
      <x:c r="J43" s="11" t="str">
        <x:v>Valid DOCX under maximum size</x:v>
      </x:c>
      <x:c r="K43" s="11" t="str">
        <x:v>1. Upload DOCX.
2. Submit.</x:v>
      </x:c>
      <x:c r="L43" s="11" t="str">
        <x:v>File uploads successfully and appears in the submitted assignment record.</x:v>
      </x:c>
      <x:c r="M43" s="11" t="str">
        <x:v>Allowed document formats are accepted consistently.</x:v>
      </x:c>
      <x:c r="N43" s="8" t="str">
        <x:v>Not Run</x:v>
      </x:c>
      <x:c r="O43" s="8" t="str"/>
      <x:c r="P43" s="9" t="str"/>
      <x:c r="Q43" s="11" t="str"/>
      <x:c r="R43" s="11" t="str"/>
      <x:c r="S43" s="8" t="str"/>
      <x:c r="T43" s="11" t="str"/>
    </x:row>
    <x:row r="44" ht="38" customHeight="1">
      <x:c r="A44" s="10" t="str">
        <x:v>TC-ASG-003</x:v>
      </x:c>
      <x:c r="B44" s="8" t="str">
        <x:v>261005-Skenario Ujifungsi.docx</x:v>
      </x:c>
      <x:c r="C44" s="8" t="str">
        <x:v>Assignment</x:v>
      </x:c>
      <x:c r="D44" s="8" t="str">
        <x:v>Validation</x:v>
      </x:c>
      <x:c r="E44" s="8" t="str">
        <x:v>Upload unsupported file type</x:v>
      </x:c>
      <x:c r="F44" s="8" t="str">
        <x:v>Negative</x:v>
      </x:c>
      <x:c r="G44" s="8" t="str">
        <x:v>High</x:v>
      </x:c>
      <x:c r="H44" s="8" t="str">
        <x:v>Peserta</x:v>
      </x:c>
      <x:c r="I44" s="11" t="str">
        <x:v>Assignment is open</x:v>
      </x:c>
      <x:c r="J44" s="11" t="str">
        <x:v>EXE, MP4, or other unsupported format</x:v>
      </x:c>
      <x:c r="K44" s="11" t="str">
        <x:v>1. Select an unsupported file.
2. Submit.</x:v>
      </x:c>
      <x:c r="L44" s="11" t="str">
        <x:v>File is rejected before or during upload with a clear format message; no invalid record is created.</x:v>
      </x:c>
      <x:c r="M44" s="11" t="str">
        <x:v>Only configured extensions/MIME types are allowed.</x:v>
      </x:c>
      <x:c r="N44" s="8" t="str">
        <x:v>Not Run</x:v>
      </x:c>
      <x:c r="O44" s="8" t="str"/>
      <x:c r="P44" s="9" t="str"/>
      <x:c r="Q44" s="11" t="str"/>
      <x:c r="R44" s="11" t="str"/>
      <x:c r="S44" s="8" t="str"/>
      <x:c r="T44" s="11" t="str"/>
    </x:row>
    <x:row r="45" ht="38" customHeight="1">
      <x:c r="A45" s="10" t="str">
        <x:v>TC-ASG-004</x:v>
      </x:c>
      <x:c r="B45" s="8" t="str">
        <x:v>261005-Skenario Ujifungsi Pemateri.docx</x:v>
      </x:c>
      <x:c r="C45" s="8" t="str">
        <x:v>Assignment</x:v>
      </x:c>
      <x:c r="D45" s="8" t="str">
        <x:v>Validation</x:v>
      </x:c>
      <x:c r="E45" s="8" t="str">
        <x:v>Upload file at maximum size</x:v>
      </x:c>
      <x:c r="F45" s="8" t="str">
        <x:v>Boundary</x:v>
      </x:c>
      <x:c r="G45" s="8" t="str">
        <x:v>High</x:v>
      </x:c>
      <x:c r="H45" s="8" t="str">
        <x:v>Peserta</x:v>
      </x:c>
      <x:c r="I45" s="11" t="str">
        <x:v>Maximum file size is configured</x:v>
      </x:c>
      <x:c r="J45" s="11" t="str">
        <x:v>File exactly at the configured limit, such as 2 MB if configured</x:v>
      </x:c>
      <x:c r="K45" s="11" t="str">
        <x:v>1. Select a file exactly at the limit.
2. Submit.</x:v>
      </x:c>
      <x:c r="L45" s="11" t="str">
        <x:v>File is accepted if the rule is inclusive and the recorded size is correct.</x:v>
      </x:c>
      <x:c r="M45" s="11" t="str">
        <x:v>Maximum file size boundary is explicit.</x:v>
      </x:c>
      <x:c r="N45" s="8" t="str">
        <x:v>Not Run</x:v>
      </x:c>
      <x:c r="O45" s="8" t="str"/>
      <x:c r="P45" s="9" t="str"/>
      <x:c r="Q45" s="11" t="str"/>
      <x:c r="R45" s="11" t="str"/>
      <x:c r="S45" s="8" t="str"/>
      <x:c r="T45" s="11" t="str"/>
    </x:row>
    <x:row r="46" ht="38" customHeight="1">
      <x:c r="A46" s="10" t="str">
        <x:v>TC-ASG-005</x:v>
      </x:c>
      <x:c r="B46" s="8" t="str">
        <x:v>261005-Skenario Ujifungsi Pemateri.docx</x:v>
      </x:c>
      <x:c r="C46" s="8" t="str">
        <x:v>Assignment</x:v>
      </x:c>
      <x:c r="D46" s="8" t="str">
        <x:v>Validation</x:v>
      </x:c>
      <x:c r="E46" s="8" t="str">
        <x:v>Upload file above maximum size</x:v>
      </x:c>
      <x:c r="F46" s="8" t="str">
        <x:v>Negative</x:v>
      </x:c>
      <x:c r="G46" s="8" t="str">
        <x:v>High</x:v>
      </x:c>
      <x:c r="H46" s="8" t="str">
        <x:v>Peserta</x:v>
      </x:c>
      <x:c r="I46" s="11" t="str">
        <x:v>Maximum file size is configured</x:v>
      </x:c>
      <x:c r="J46" s="11" t="str">
        <x:v>File slightly larger than the configured limit</x:v>
      </x:c>
      <x:c r="K46" s="11" t="str">
        <x:v>1. Select a file just above the limit.
2. Submit.</x:v>
      </x:c>
      <x:c r="L46" s="11" t="str">
        <x:v>File is rejected with a clear size message and no incomplete orphan upload remains.</x:v>
      </x:c>
      <x:c r="M46" s="11" t="str">
        <x:v>Oversized files are rejected.</x:v>
      </x:c>
      <x:c r="N46" s="8" t="str">
        <x:v>Not Run</x:v>
      </x:c>
      <x:c r="O46" s="8" t="str"/>
      <x:c r="P46" s="9" t="str"/>
      <x:c r="Q46" s="11" t="str"/>
      <x:c r="R46" s="11" t="str"/>
      <x:c r="S46" s="8" t="str"/>
      <x:c r="T46" s="11" t="str"/>
    </x:row>
    <x:row r="47" ht="38" customHeight="1">
      <x:c r="A47" s="10" t="str">
        <x:v>TC-ASG-006</x:v>
      </x:c>
      <x:c r="B47" s="8" t="str">
        <x:v>261005-Skenario Ujifungsi.docx</x:v>
      </x:c>
      <x:c r="C47" s="8" t="str">
        <x:v>Assignment</x:v>
      </x:c>
      <x:c r="D47" s="8" t="str">
        <x:v>Validation</x:v>
      </x:c>
      <x:c r="E47" s="8" t="str">
        <x:v>Upload corrupted file with allowed extension</x:v>
      </x:c>
      <x:c r="F47" s="8" t="str">
        <x:v>Negative</x:v>
      </x:c>
      <x:c r="G47" s="8" t="str">
        <x:v>Medium</x:v>
      </x:c>
      <x:c r="H47" s="8" t="str">
        <x:v>Peserta</x:v>
      </x:c>
      <x:c r="I47" s="11" t="str">
        <x:v>Assignment is open</x:v>
      </x:c>
      <x:c r="J47" s="11" t="str">
        <x:v>Corrupt PDF/DOCX with allowed extension</x:v>
      </x:c>
      <x:c r="K47" s="11" t="str">
        <x:v>1. Upload the corrupt file.
2. Submit.</x:v>
      </x:c>
      <x:c r="L47" s="11" t="str">
        <x:v>System rejects the file or marks it unusable according to policy without claiming a valid submission.</x:v>
      </x:c>
      <x:c r="M47" s="11" t="str">
        <x:v>File content is validated, not only the extension.</x:v>
      </x:c>
      <x:c r="N47" s="8" t="str">
        <x:v>Not Run</x:v>
      </x:c>
      <x:c r="O47" s="8" t="str"/>
      <x:c r="P47" s="9" t="str"/>
      <x:c r="Q47" s="11" t="str"/>
      <x:c r="R47" s="11" t="str"/>
      <x:c r="S47" s="8" t="str"/>
      <x:c r="T47" s="11" t="str"/>
    </x:row>
    <x:row r="48" ht="38" customHeight="1">
      <x:c r="A48" s="10" t="str">
        <x:v>TC-ASG-007</x:v>
      </x:c>
      <x:c r="B48" s="8" t="str">
        <x:v>261005-Skenario Ujifungsi.docx</x:v>
      </x:c>
      <x:c r="C48" s="8" t="str">
        <x:v>Assignment</x:v>
      </x:c>
      <x:c r="D48" s="8" t="str">
        <x:v>Resubmission</x:v>
      </x:c>
      <x:c r="E48" s="8" t="str">
        <x:v>Replace or resubmit an assignment</x:v>
      </x:c>
      <x:c r="F48" s="8" t="str">
        <x:v>Boundary</x:v>
      </x:c>
      <x:c r="G48" s="8" t="str">
        <x:v>High</x:v>
      </x:c>
      <x:c r="H48" s="8" t="str">
        <x:v>Peserta</x:v>
      </x:c>
      <x:c r="I48" s="11" t="str">
        <x:v>Assignment allows resubmission</x:v>
      </x:c>
      <x:c r="J48" s="11" t="str">
        <x:v>Initial file and replacement file</x:v>
      </x:c>
      <x:c r="K48" s="11" t="str">
        <x:v>1. Submit file A.
2. Replace/resubmit with file B.</x:v>
      </x:c>
      <x:c r="L48" s="11" t="str">
        <x:v>The allowed resubmission rule is enforced, the latest/approved version is clear, and status/history remain consistent.</x:v>
      </x:c>
      <x:c r="M48" s="11" t="str">
        <x:v>Resubmission policy is explicit.</x:v>
      </x:c>
      <x:c r="N48" s="8" t="str">
        <x:v>Not Run</x:v>
      </x:c>
      <x:c r="O48" s="8" t="str"/>
      <x:c r="P48" s="9" t="str"/>
      <x:c r="Q48" s="11" t="str"/>
      <x:c r="R48" s="11" t="str"/>
      <x:c r="S48" s="8" t="str"/>
      <x:c r="T48" s="11" t="str"/>
    </x:row>
    <x:row r="49" ht="38" customHeight="1">
      <x:c r="A49" s="10" t="str">
        <x:v>TC-ASG-008</x:v>
      </x:c>
      <x:c r="B49" s="8" t="str">
        <x:v>261005-Skenario Ujifungsi.docx</x:v>
      </x:c>
      <x:c r="C49" s="8" t="str">
        <x:v>Assignment</x:v>
      </x:c>
      <x:c r="D49" s="8" t="str">
        <x:v>Deadline</x:v>
      </x:c>
      <x:c r="E49" s="8" t="str">
        <x:v>Submit before deadline</x:v>
      </x:c>
      <x:c r="F49" s="8" t="str">
        <x:v>Positive</x:v>
      </x:c>
      <x:c r="G49" s="8" t="str">
        <x:v>High</x:v>
      </x:c>
      <x:c r="H49" s="8" t="str">
        <x:v>Peserta</x:v>
      </x:c>
      <x:c r="I49" s="11" t="str">
        <x:v>Assignment deadline is in the future</x:v>
      </x:c>
      <x:c r="J49" s="11" t="str">
        <x:v>Valid file before deadline</x:v>
      </x:c>
      <x:c r="K49" s="11" t="str">
        <x:v>1. Upload valid file before deadline.
2. Submit.</x:v>
      </x:c>
      <x:c r="L49" s="11" t="str">
        <x:v>Submission succeeds and records the correct timestamp.</x:v>
      </x:c>
      <x:c r="M49" s="11" t="str">
        <x:v>Submission before deadline is allowed.</x:v>
      </x:c>
      <x:c r="N49" s="8" t="str">
        <x:v>Not Run</x:v>
      </x:c>
      <x:c r="O49" s="8" t="str"/>
      <x:c r="P49" s="9" t="str"/>
      <x:c r="Q49" s="11" t="str"/>
      <x:c r="R49" s="11" t="str"/>
      <x:c r="S49" s="8" t="str"/>
      <x:c r="T49" s="11" t="str"/>
    </x:row>
    <x:row r="50" ht="38" customHeight="1">
      <x:c r="A50" s="10" t="str">
        <x:v>TC-ASG-009</x:v>
      </x:c>
      <x:c r="B50" s="8" t="str">
        <x:v>261005-Skenario Ujifungsi.docx</x:v>
      </x:c>
      <x:c r="C50" s="8" t="str">
        <x:v>Assignment</x:v>
      </x:c>
      <x:c r="D50" s="8" t="str">
        <x:v>Deadline</x:v>
      </x:c>
      <x:c r="E50" s="8" t="str">
        <x:v>Submit after deadline</x:v>
      </x:c>
      <x:c r="F50" s="8" t="str">
        <x:v>Negative</x:v>
      </x:c>
      <x:c r="G50" s="8" t="str">
        <x:v>High</x:v>
      </x:c>
      <x:c r="H50" s="8" t="str">
        <x:v>Peserta</x:v>
      </x:c>
      <x:c r="I50" s="11" t="str">
        <x:v>Assignment deadline has passed</x:v>
      </x:c>
      <x:c r="J50" s="11" t="str">
        <x:v>Valid file after deadline</x:v>
      </x:c>
      <x:c r="K50" s="11" t="str">
        <x:v>1. Open assignment after deadline.
2. Attempt upload/submit.</x:v>
      </x:c>
      <x:c r="L50" s="11" t="str">
        <x:v>Submission is blocked or labeled late according to the configured policy; UI and backend agree.</x:v>
      </x:c>
      <x:c r="M50" s="11" t="str">
        <x:v>Deadline enforcement is consistent.</x:v>
      </x:c>
      <x:c r="N50" s="8" t="str">
        <x:v>Not Run</x:v>
      </x:c>
      <x:c r="O50" s="8" t="str"/>
      <x:c r="P50" s="9" t="str"/>
      <x:c r="Q50" s="11" t="str"/>
      <x:c r="R50" s="11" t="str"/>
      <x:c r="S50" s="8" t="str"/>
      <x:c r="T50" s="11" t="str"/>
    </x:row>
    <x:row r="51" ht="38" customHeight="1">
      <x:c r="A51" s="10" t="str">
        <x:v>TC-ASG-010</x:v>
      </x:c>
      <x:c r="B51" s="8" t="str">
        <x:v>261005-Skenario Ujifungsi.docx</x:v>
      </x:c>
      <x:c r="C51" s="8" t="str">
        <x:v>Assignment</x:v>
      </x:c>
      <x:c r="D51" s="8" t="str">
        <x:v>Recovery</x:v>
      </x:c>
      <x:c r="E51" s="8" t="str">
        <x:v>Network interruption during upload</x:v>
      </x:c>
      <x:c r="F51" s="8" t="str">
        <x:v>Recovery</x:v>
      </x:c>
      <x:c r="G51" s="8" t="str">
        <x:v>Medium</x:v>
      </x:c>
      <x:c r="H51" s="8" t="str">
        <x:v>Peserta</x:v>
      </x:c>
      <x:c r="I51" s="11" t="str">
        <x:v>Assignment is open</x:v>
      </x:c>
      <x:c r="J51" s="11" t="str">
        <x:v>Valid file; simulate connection interruption</x:v>
      </x:c>
      <x:c r="K51" s="11" t="str">
        <x:v>1. Start upload.
2. Interrupt connection.
3. Restore connection and inspect status.</x:v>
      </x:c>
      <x:c r="L51" s="11" t="str">
        <x:v>No false success is shown; user receives a retry path and no corrupted submission is recorded.</x:v>
      </x:c>
      <x:c r="M51" s="11" t="str">
        <x:v>Upload failures are recoverable and visible.</x:v>
      </x:c>
      <x:c r="N51" s="8" t="str">
        <x:v>Not Run</x:v>
      </x:c>
      <x:c r="O51" s="8" t="str"/>
      <x:c r="P51" s="9" t="str"/>
      <x:c r="Q51" s="11" t="str"/>
      <x:c r="R51" s="11" t="str"/>
      <x:c r="S51" s="8" t="str"/>
      <x:c r="T51" s="11" t="str"/>
    </x:row>
    <x:row r="52" ht="38" customHeight="1">
      <x:c r="A52" s="10" t="str">
        <x:v>TC-POST-001</x:v>
      </x:c>
      <x:c r="B52" s="8" t="str">
        <x:v>261005-Skenario Ujifungsi.docx</x:v>
      </x:c>
      <x:c r="C52" s="8" t="str">
        <x:v>Post-Test and Reset</x:v>
      </x:c>
      <x:c r="D52" s="8" t="str">
        <x:v>Eligibility</x:v>
      </x:c>
      <x:c r="E52" s="8" t="str">
        <x:v>Post-Test is available only after prerequisites</x:v>
      </x:c>
      <x:c r="F52" s="8" t="str">
        <x:v>Negative</x:v>
      </x:c>
      <x:c r="G52" s="8" t="str">
        <x:v>Critical</x:v>
      </x:c>
      <x:c r="H52" s="8" t="str">
        <x:v>Peserta</x:v>
      </x:c>
      <x:c r="I52" s="11" t="str">
        <x:v>Course has incomplete required activities</x:v>
      </x:c>
      <x:c r="J52" s="11" t="str">
        <x:v>Incomplete course</x:v>
      </x:c>
      <x:c r="K52" s="11" t="str">
        <x:v>1. Leave a required activity incomplete.
2. Try to open Post-Test.</x:v>
      </x:c>
      <x:c r="L52" s="11" t="str">
        <x:v>Post-Test is blocked or available according to the defined prerequisite rule, with clear guidance.</x:v>
      </x:c>
      <x:c r="M52" s="11" t="str">
        <x:v>Post-Test eligibility is enforced.</x:v>
      </x:c>
      <x:c r="N52" s="8" t="str">
        <x:v>Not Run</x:v>
      </x:c>
      <x:c r="O52" s="8" t="str"/>
      <x:c r="P52" s="9" t="str"/>
      <x:c r="Q52" s="11" t="str"/>
      <x:c r="R52" s="11" t="str"/>
      <x:c r="S52" s="8" t="str"/>
      <x:c r="T52" s="11" t="str"/>
    </x:row>
    <x:row r="53" ht="38" customHeight="1">
      <x:c r="A53" s="10" t="str">
        <x:v>TC-POST-002</x:v>
      </x:c>
      <x:c r="B53" s="8" t="str">
        <x:v>261005-Skenario Ujifungsi.docx</x:v>
      </x:c>
      <x:c r="C53" s="8" t="str">
        <x:v>Post-Test and Reset</x:v>
      </x:c>
      <x:c r="D53" s="8" t="str">
        <x:v>Scoring</x:v>
      </x:c>
      <x:c r="E53" s="8" t="str">
        <x:v>Post-Test score below pass threshold</x:v>
      </x:c>
      <x:c r="F53" s="8" t="str">
        <x:v>Negative</x:v>
      </x:c>
      <x:c r="G53" s="8" t="str">
        <x:v>Critical</x:v>
      </x:c>
      <x:c r="H53" s="8" t="str">
        <x:v>Peserta</x:v>
      </x:c>
      <x:c r="I53" s="11" t="str">
        <x:v>All prerequisites complete; threshold configured</x:v>
      </x:c>
      <x:c r="J53" s="11" t="str">
        <x:v>Attempt score below threshold</x:v>
      </x:c>
      <x:c r="K53" s="11" t="str">
        <x:v>1. Complete prerequisites.
2. Submit a failing Post-Test attempt.</x:v>
      </x:c>
      <x:c r="L53" s="11" t="str">
        <x:v>Attempt is recorded as failed, score is stored, and retry/reset state follows policy.</x:v>
      </x:c>
      <x:c r="M53" s="11" t="str">
        <x:v>Failing results are recorded accurately.</x:v>
      </x:c>
      <x:c r="N53" s="8" t="str">
        <x:v>Not Run</x:v>
      </x:c>
      <x:c r="O53" s="8" t="str"/>
      <x:c r="P53" s="9" t="str"/>
      <x:c r="Q53" s="11" t="str"/>
      <x:c r="R53" s="11" t="str"/>
      <x:c r="S53" s="8" t="str"/>
      <x:c r="T53" s="11" t="str"/>
    </x:row>
    <x:row r="54" ht="38" customHeight="1">
      <x:c r="A54" s="10" t="str">
        <x:v>TC-POST-003</x:v>
      </x:c>
      <x:c r="B54" s="8" t="str">
        <x:v>261005-Skenario Ujifungsi.docx</x:v>
      </x:c>
      <x:c r="C54" s="8" t="str">
        <x:v>Post-Test and Reset</x:v>
      </x:c>
      <x:c r="D54" s="8" t="str">
        <x:v>Scoring</x:v>
      </x:c>
      <x:c r="E54" s="8" t="str">
        <x:v>Post-Test score exactly at pass threshold</x:v>
      </x:c>
      <x:c r="F54" s="8" t="str">
        <x:v>Boundary</x:v>
      </x:c>
      <x:c r="G54" s="8" t="str">
        <x:v>Critical</x:v>
      </x:c>
      <x:c r="H54" s="8" t="str">
        <x:v>Peserta</x:v>
      </x:c>
      <x:c r="I54" s="11" t="str">
        <x:v>All prerequisites complete; threshold configured</x:v>
      </x:c>
      <x:c r="J54" s="11" t="str">
        <x:v>Attempt score exactly equal to threshold</x:v>
      </x:c>
      <x:c r="K54" s="11" t="str">
        <x:v>1. Submit a score equal to the configured threshold.</x:v>
      </x:c>
      <x:c r="L54" s="11" t="str">
        <x:v>System marks the user Passed if the rule is inclusive; certificate eligibility updates accordingly.</x:v>
      </x:c>
      <x:c r="M54" s="11" t="str">
        <x:v>Pass threshold equality rule is explicit.</x:v>
      </x:c>
      <x:c r="N54" s="8" t="str">
        <x:v>Not Run</x:v>
      </x:c>
      <x:c r="O54" s="8" t="str"/>
      <x:c r="P54" s="9" t="str"/>
      <x:c r="Q54" s="11" t="str"/>
      <x:c r="R54" s="11" t="str"/>
      <x:c r="S54" s="8" t="str"/>
      <x:c r="T54" s="11" t="str"/>
    </x:row>
    <x:row r="55" ht="38" customHeight="1">
      <x:c r="A55" s="10" t="str">
        <x:v>TC-POST-004</x:v>
      </x:c>
      <x:c r="B55" s="8" t="str">
        <x:v>261005-Skenario Ujifungsi.docx</x:v>
      </x:c>
      <x:c r="C55" s="8" t="str">
        <x:v>Post-Test and Reset</x:v>
      </x:c>
      <x:c r="D55" s="8" t="str">
        <x:v>Attempts</x:v>
      </x:c>
      <x:c r="E55" s="8" t="str">
        <x:v>First and second failed attempts can be retried</x:v>
      </x:c>
      <x:c r="F55" s="8" t="str">
        <x:v>Positive</x:v>
      </x:c>
      <x:c r="G55" s="8" t="str">
        <x:v>High</x:v>
      </x:c>
      <x:c r="H55" s="8" t="str">
        <x:v>Peserta</x:v>
      </x:c>
      <x:c r="I55" s="11" t="str">
        <x:v>Retry policy allows up to three attempts</x:v>
      </x:c>
      <x:c r="J55" s="11" t="str">
        <x:v>Fail attempts 1 and 2</x:v>
      </x:c>
      <x:c r="K55" s="11" t="str">
        <x:v>1. Fail attempt 1.
2. Start attempt 2 and fail.
3. Observe action buttons and count.</x:v>
      </x:c>
      <x:c r="L55" s="11" t="str">
        <x:v>Attempt count increments correctly and the next attempt is available if policy allows.</x:v>
      </x:c>
      <x:c r="M55" s="11" t="str">
        <x:v>Retry count is accurate.</x:v>
      </x:c>
      <x:c r="N55" s="8" t="str">
        <x:v>Not Run</x:v>
      </x:c>
      <x:c r="O55" s="8" t="str"/>
      <x:c r="P55" s="9" t="str"/>
      <x:c r="Q55" s="11" t="str"/>
      <x:c r="R55" s="11" t="str"/>
      <x:c r="S55" s="8" t="str"/>
      <x:c r="T55" s="11" t="str"/>
    </x:row>
    <x:row r="56" ht="38" customHeight="1">
      <x:c r="A56" s="10" t="str">
        <x:v>TC-POST-005</x:v>
      </x:c>
      <x:c r="B56" s="8" t="str">
        <x:v>261005-Skenario Ujifungsi.docx</x:v>
      </x:c>
      <x:c r="C56" s="8" t="str">
        <x:v>Post-Test and Reset</x:v>
      </x:c>
      <x:c r="D56" s="8" t="str">
        <x:v>Attempts</x:v>
      </x:c>
      <x:c r="E56" s="8" t="str">
        <x:v>Third attempt passes</x:v>
      </x:c>
      <x:c r="F56" s="8" t="str">
        <x:v>Boundary</x:v>
      </x:c>
      <x:c r="G56" s="8" t="str">
        <x:v>Critical</x:v>
      </x:c>
      <x:c r="H56" s="8" t="str">
        <x:v>Peserta</x:v>
      </x:c>
      <x:c r="I56" s="11" t="str">
        <x:v>Two previous failed attempts; third attempt allowed</x:v>
      </x:c>
      <x:c r="J56" s="11" t="str">
        <x:v>Passing third attempt</x:v>
      </x:c>
      <x:c r="K56" s="11" t="str">
        <x:v>1. Submit a passing third attempt.
2. Inspect course status and certificate eligibility.</x:v>
      </x:c>
      <x:c r="L56" s="11" t="str">
        <x:v>User is marked Passed; no reset occurs; certificate flow becomes available if other requirements are met.</x:v>
      </x:c>
      <x:c r="M56" s="11" t="str">
        <x:v>Passing on the last allowed attempt is successful.</x:v>
      </x:c>
      <x:c r="N56" s="8" t="str">
        <x:v>Not Run</x:v>
      </x:c>
      <x:c r="O56" s="8" t="str"/>
      <x:c r="P56" s="9" t="str"/>
      <x:c r="Q56" s="11" t="str"/>
      <x:c r="R56" s="11" t="str"/>
      <x:c r="S56" s="8" t="str"/>
      <x:c r="T56" s="11" t="str"/>
    </x:row>
    <x:row r="57" ht="38" customHeight="1">
      <x:c r="A57" s="10" t="str">
        <x:v>TC-POST-006</x:v>
      </x:c>
      <x:c r="B57" s="8" t="str">
        <x:v>261005-Skenario Ujifungsi.docx</x:v>
      </x:c>
      <x:c r="C57" s="8" t="str">
        <x:v>Post-Test and Reset</x:v>
      </x:c>
      <x:c r="D57" s="8" t="str">
        <x:v>Attempts</x:v>
      </x:c>
      <x:c r="E57" s="8" t="str">
        <x:v>Third attempt fails</x:v>
      </x:c>
      <x:c r="F57" s="8" t="str">
        <x:v>Boundary</x:v>
      </x:c>
      <x:c r="G57" s="8" t="str">
        <x:v>Critical</x:v>
      </x:c>
      <x:c r="H57" s="8" t="str">
        <x:v>Peserta</x:v>
      </x:c>
      <x:c r="I57" s="11" t="str">
        <x:v>Two previous failed attempts; third attempt allowed</x:v>
      </x:c>
      <x:c r="J57" s="11" t="str">
        <x:v>Failing third attempt</x:v>
      </x:c>
      <x:c r="K57" s="11" t="str">
        <x:v>1. Submit a failing third attempt.
2. Inspect course and user status.</x:v>
      </x:c>
      <x:c r="L57" s="11" t="str">
        <x:v>User is marked Tidak Lulus Materi and the exact configured reset/lockout rule is executed.</x:v>
      </x:c>
      <x:c r="M57" s="11" t="str">
        <x:v>Three failed attempts trigger the defined consequence.</x:v>
      </x:c>
      <x:c r="N57" s="8" t="str">
        <x:v>Not Run</x:v>
      </x:c>
      <x:c r="O57" s="8" t="str"/>
      <x:c r="P57" s="9" t="str"/>
      <x:c r="Q57" s="11" t="str"/>
      <x:c r="R57" s="11" t="str"/>
      <x:c r="S57" s="8" t="str"/>
      <x:c r="T57" s="11" t="str"/>
    </x:row>
    <x:row r="58" ht="38" customHeight="1">
      <x:c r="A58" s="10" t="str">
        <x:v>TC-POST-007</x:v>
      </x:c>
      <x:c r="B58" s="8" t="str">
        <x:v>261005-Skenario Ujifungsi.docx</x:v>
      </x:c>
      <x:c r="C58" s="8" t="str">
        <x:v>Post-Test and Reset</x:v>
      </x:c>
      <x:c r="D58" s="8" t="str">
        <x:v>Attempts</x:v>
      </x:c>
      <x:c r="E58" s="8" t="str">
        <x:v>Attempt count persists after refresh/relogin</x:v>
      </x:c>
      <x:c r="F58" s="8" t="str">
        <x:v>Recovery</x:v>
      </x:c>
      <x:c r="G58" s="8" t="str">
        <x:v>High</x:v>
      </x:c>
      <x:c r="H58" s="8" t="str">
        <x:v>Peserta</x:v>
      </x:c>
      <x:c r="I58" s="11" t="str">
        <x:v>At least one failed attempt recorded</x:v>
      </x:c>
      <x:c r="J58" s="11" t="str">
        <x:v>Refresh, logout, relogin</x:v>
      </x:c>
      <x:c r="K58" s="11" t="str">
        <x:v>1. Complete a failed attempt.
2. Refresh and relogin.
3. Reopen Post-Test.</x:v>
      </x:c>
      <x:c r="L58" s="11" t="str">
        <x:v>Attempt count and available actions remain correct after session changes.</x:v>
      </x:c>
      <x:c r="M58" s="11" t="str">
        <x:v>Attempt state is durable.</x:v>
      </x:c>
      <x:c r="N58" s="8" t="str">
        <x:v>Not Run</x:v>
      </x:c>
      <x:c r="O58" s="8" t="str"/>
      <x:c r="P58" s="9" t="str"/>
      <x:c r="Q58" s="11" t="str"/>
      <x:c r="R58" s="11" t="str"/>
      <x:c r="S58" s="8" t="str"/>
      <x:c r="T58" s="11" t="str"/>
    </x:row>
    <x:row r="59" ht="38" customHeight="1">
      <x:c r="A59" s="10" t="str">
        <x:v>TC-POST-008</x:v>
      </x:c>
      <x:c r="B59" s="8" t="str">
        <x:v>261005-Skenario Ujifungsi.docx</x:v>
      </x:c>
      <x:c r="C59" s="8" t="str">
        <x:v>Post-Test and Reset</x:v>
      </x:c>
      <x:c r="D59" s="8" t="str">
        <x:v>Reset</x:v>
      </x:c>
      <x:c r="E59" s="8" t="str">
        <x:v>Reset returns progress to configured starting state</x:v>
      </x:c>
      <x:c r="F59" s="8" t="str">
        <x:v>Critical</x:v>
      </x:c>
      <x:c r="G59" s="8" t="str">
        <x:v>Critical</x:v>
      </x:c>
      <x:c r="H59" s="8" t="str">
        <x:v>Peserta</x:v>
      </x:c>
      <x:c r="I59" s="11" t="str">
        <x:v>Third failed attempt triggers reset</x:v>
      </x:c>
      <x:c r="J59" s="11" t="str">
        <x:v>Course with progress, scores, and submission</x:v>
      </x:c>
      <x:c r="K59" s="11" t="str">
        <x:v>1. Fail Post-Test three times.
2. Inspect progress, activity states, and course action.</x:v>
      </x:c>
      <x:c r="L59" s="11" t="str">
        <x:v>Only the fields defined by policy are reset, progress is set to the defined value, and the course is restartable or locked as specified.</x:v>
      </x:c>
      <x:c r="M59" s="11" t="str">
        <x:v>Reset behavior must be deterministic; replace any ‘or’ wording with one rule.</x:v>
      </x:c>
      <x:c r="N59" s="8" t="str">
        <x:v>Not Run</x:v>
      </x:c>
      <x:c r="O59" s="8" t="str"/>
      <x:c r="P59" s="9" t="str"/>
      <x:c r="Q59" s="11" t="str"/>
      <x:c r="R59" s="11" t="str"/>
      <x:c r="S59" s="8" t="str"/>
      <x:c r="T59" s="11" t="str"/>
    </x:row>
    <x:row r="60" ht="38" customHeight="1">
      <x:c r="A60" s="10" t="str">
        <x:v>TC-POST-009</x:v>
      </x:c>
      <x:c r="B60" s="8" t="str">
        <x:v>261005-Skenario Ujifungsi.docx</x:v>
      </x:c>
      <x:c r="C60" s="8" t="str">
        <x:v>Post-Test and Reset</x:v>
      </x:c>
      <x:c r="D60" s="8" t="str">
        <x:v>Reset</x:v>
      </x:c>
      <x:c r="E60" s="8" t="str">
        <x:v>Reset of scores and assignment state</x:v>
      </x:c>
      <x:c r="F60" s="8" t="str">
        <x:v>Boundary</x:v>
      </x:c>
      <x:c r="G60" s="8" t="str">
        <x:v>High</x:v>
      </x:c>
      <x:c r="H60" s="8" t="str">
        <x:v>Peserta</x:v>
      </x:c>
      <x:c r="I60" s="11" t="str">
        <x:v>Reset policy defines score/task handling</x:v>
      </x:c>
      <x:c r="J60" s="11" t="str">
        <x:v>Prior Pre-Test/Quiz scores and submitted assignment</x:v>
      </x:c>
      <x:c r="K60" s="11" t="str">
        <x:v>1. Create prior activity results.
2. Trigger reset.
3. Inspect score history and assignment.</x:v>
      </x:c>
      <x:c r="L60" s="11" t="str">
        <x:v>Scores and assignments are retained or removed exactly according to the approved retention policy.</x:v>
      </x:c>
      <x:c r="M60" s="11" t="str">
        <x:v>Data retention after reset is explicit.</x:v>
      </x:c>
      <x:c r="N60" s="8" t="str">
        <x:v>Not Run</x:v>
      </x:c>
      <x:c r="O60" s="8" t="str"/>
      <x:c r="P60" s="9" t="str"/>
      <x:c r="Q60" s="11" t="str"/>
      <x:c r="R60" s="11" t="str"/>
      <x:c r="S60" s="8" t="str"/>
      <x:c r="T60" s="11" t="str"/>
    </x:row>
    <x:row r="61" ht="38" customHeight="1">
      <x:c r="A61" s="10" t="str">
        <x:v>TC-POST-010</x:v>
      </x:c>
      <x:c r="B61" s="8" t="str">
        <x:v>261005-Skenario Ujifungsi.docx</x:v>
      </x:c>
      <x:c r="C61" s="8" t="str">
        <x:v>Post-Test and Reset</x:v>
      </x:c>
      <x:c r="D61" s="8" t="str">
        <x:v>Reset</x:v>
      </x:c>
      <x:c r="E61" s="8" t="str">
        <x:v>Reset is atomic</x:v>
      </x:c>
      <x:c r="F61" s="8" t="str">
        <x:v>Recovery</x:v>
      </x:c>
      <x:c r="G61" s="8" t="str">
        <x:v>High</x:v>
      </x:c>
      <x:c r="H61" s="8" t="str">
        <x:v>Peserta</x:v>
      </x:c>
      <x:c r="I61" s="11" t="str">
        <x:v>Reset process available</x:v>
      </x:c>
      <x:c r="J61" s="11" t="str">
        <x:v>Simulate failure during reset if possible</x:v>
      </x:c>
      <x:c r="K61" s="11" t="str">
        <x:v>1. Trigger reset.
2. Interrupt or observe the operation.
3. Reload the course.</x:v>
      </x:c>
      <x:c r="L61" s="11" t="str">
        <x:v>System does not leave a partially reset state; retry/recovery is clear.</x:v>
      </x:c>
      <x:c r="M61" s="11" t="str">
        <x:v>Reset is transactional.</x:v>
      </x:c>
      <x:c r="N61" s="8" t="str">
        <x:v>Not Run</x:v>
      </x:c>
      <x:c r="O61" s="8" t="str"/>
      <x:c r="P61" s="9" t="str"/>
      <x:c r="Q61" s="11" t="str"/>
      <x:c r="R61" s="11" t="str"/>
      <x:c r="S61" s="8" t="str"/>
      <x:c r="T61" s="11" t="str"/>
    </x:row>
    <x:row r="62" ht="38" customHeight="1">
      <x:c r="A62" s="10" t="str">
        <x:v>TC-POST-011</x:v>
      </x:c>
      <x:c r="B62" s="8" t="str">
        <x:v>261005-Skenario Ujifungsi.docx</x:v>
      </x:c>
      <x:c r="C62" s="8" t="str">
        <x:v>Post-Test and Reset</x:v>
      </x:c>
      <x:c r="D62" s="8" t="str">
        <x:v>Notification</x:v>
      </x:c>
      <x:c r="E62" s="8" t="str">
        <x:v>Notification after third failed attempt</x:v>
      </x:c>
      <x:c r="F62" s="8" t="str">
        <x:v>Integration</x:v>
      </x:c>
      <x:c r="G62" s="8" t="str">
        <x:v>Medium</x:v>
      </x:c>
      <x:c r="H62" s="8" t="str">
        <x:v>Peserta</x:v>
      </x:c>
      <x:c r="I62" s="11" t="str">
        <x:v>Notification channel configured</x:v>
      </x:c>
      <x:c r="J62" s="11" t="str">
        <x:v>Three failed attempts</x:v>
      </x:c>
      <x:c r="K62" s="11" t="str">
        <x:v>1. Trigger the third failure.
2. Check in-app/email notification.</x:v>
      </x:c>
      <x:c r="L62" s="11" t="str">
        <x:v>User receives one clear notification explaining status and next action.</x:v>
      </x:c>
      <x:c r="M62" s="11" t="str">
        <x:v>Failure consequence is communicated.</x:v>
      </x:c>
      <x:c r="N62" s="8" t="str">
        <x:v>Not Run</x:v>
      </x:c>
      <x:c r="O62" s="8" t="str"/>
      <x:c r="P62" s="9" t="str"/>
      <x:c r="Q62" s="11" t="str"/>
      <x:c r="R62" s="11" t="str"/>
      <x:c r="S62" s="8" t="str"/>
      <x:c r="T62" s="11" t="str"/>
    </x:row>
    <x:row r="63" ht="38" customHeight="1">
      <x:c r="A63" s="10" t="str">
        <x:v>TC-POST-012</x:v>
      </x:c>
      <x:c r="B63" s="8" t="str">
        <x:v>261005-Skenario Ujifungsi.docx</x:v>
      </x:c>
      <x:c r="C63" s="8" t="str">
        <x:v>Post-Test and Reset</x:v>
      </x:c>
      <x:c r="D63" s="8" t="str">
        <x:v>Certificate</x:v>
      </x:c>
      <x:c r="E63" s="8" t="str">
        <x:v>Certificate eligibility removed after reset</x:v>
      </x:c>
      <x:c r="F63" s="8" t="str">
        <x:v>Security</x:v>
      </x:c>
      <x:c r="G63" s="8" t="str">
        <x:v>High</x:v>
      </x:c>
      <x:c r="H63" s="8" t="str">
        <x:v>Peserta</x:v>
      </x:c>
      <x:c r="I63" s="11" t="str">
        <x:v>User previously eligible or partially eligible; reset policy applies</x:v>
      </x:c>
      <x:c r="J63" s="11" t="str">
        <x:v>Reset course</x:v>
      </x:c>
      <x:c r="K63" s="11" t="str">
        <x:v>1. Trigger reset.
2. Try to access/download certificate.</x:v>
      </x:c>
      <x:c r="L63" s="11" t="str">
        <x:v>Certificate is unavailable until the user meets the eligibility rule again.</x:v>
      </x:c>
      <x:c r="M63" s="11" t="str">
        <x:v>Certificate eligibility follows current course status.</x:v>
      </x:c>
      <x:c r="N63" s="8" t="str">
        <x:v>Not Run</x:v>
      </x:c>
      <x:c r="O63" s="8" t="str"/>
      <x:c r="P63" s="9" t="str"/>
      <x:c r="Q63" s="11" t="str"/>
      <x:c r="R63" s="11" t="str"/>
      <x:c r="S63" s="8" t="str"/>
      <x:c r="T63" s="11" t="str"/>
    </x:row>
    <x:row r="64" ht="38" customHeight="1">
      <x:c r="A64" s="10" t="str">
        <x:v>TC-CERT-001</x:v>
      </x:c>
      <x:c r="B64" s="8" t="str">
        <x:v>261005-Skenario Ujifungsi.docx</x:v>
      </x:c>
      <x:c r="C64" s="8" t="str">
        <x:v>Certificate</x:v>
      </x:c>
      <x:c r="D64" s="8" t="str">
        <x:v>Evaluation</x:v>
      </x:c>
      <x:c r="E64" s="8" t="str">
        <x:v>Submit valid star rating and feedback</x:v>
      </x:c>
      <x:c r="F64" s="8" t="str">
        <x:v>Positive</x:v>
      </x:c>
      <x:c r="G64" s="8" t="str">
        <x:v>High</x:v>
      </x:c>
      <x:c r="H64" s="8" t="str">
        <x:v>Peserta</x:v>
      </x:c>
      <x:c r="I64" s="11" t="str">
        <x:v>All required activities complete and Post-Test passed</x:v>
      </x:c>
      <x:c r="J64" s="11" t="str">
        <x:v>Valid 1-5 rating and meaningful feedback</x:v>
      </x:c>
      <x:c r="K64" s="11" t="str">
        <x:v>1. Open evaluation.
2. Select rating.
3. Enter feedback.
4. Submit.</x:v>
      </x:c>
      <x:c r="L64" s="11" t="str">
        <x:v>Feedback is saved once and certificate action becomes available if this is a prerequisite.</x:v>
      </x:c>
      <x:c r="M64" s="11" t="str">
        <x:v>Evaluation can be submitted by eligible users.</x:v>
      </x:c>
      <x:c r="N64" s="8" t="str">
        <x:v>Not Run</x:v>
      </x:c>
      <x:c r="O64" s="8" t="str"/>
      <x:c r="P64" s="9" t="str"/>
      <x:c r="Q64" s="11" t="str"/>
      <x:c r="R64" s="11" t="str"/>
      <x:c r="S64" s="8" t="str"/>
      <x:c r="T64" s="11" t="str"/>
    </x:row>
    <x:row r="65" ht="38" customHeight="1">
      <x:c r="A65" s="10" t="str">
        <x:v>TC-CERT-002</x:v>
      </x:c>
      <x:c r="B65" s="8" t="str">
        <x:v>261005-Skenario Ujifungsi.docx</x:v>
      </x:c>
      <x:c r="C65" s="8" t="str">
        <x:v>Certificate</x:v>
      </x:c>
      <x:c r="D65" s="8" t="str">
        <x:v>Evaluation</x:v>
      </x:c>
      <x:c r="E65" s="8" t="str">
        <x:v>Submit evaluation without required rating or feedback</x:v>
      </x:c>
      <x:c r="F65" s="8" t="str">
        <x:v>Negative</x:v>
      </x:c>
      <x:c r="G65" s="8" t="str">
        <x:v>High</x:v>
      </x:c>
      <x:c r="H65" s="8" t="str">
        <x:v>Peserta</x:v>
      </x:c>
      <x:c r="I65" s="11" t="str">
        <x:v>User eligible for evaluation</x:v>
      </x:c>
      <x:c r="J65" s="11" t="str">
        <x:v>Missing rating, missing feedback, or whitespace-only feedback</x:v>
      </x:c>
      <x:c r="K65" s="11" t="str">
        <x:v>1. Leave one required field empty.
2. Submit.</x:v>
      </x:c>
      <x:c r="L65" s="11" t="str">
        <x:v>Submission is blocked with field-level guidance and certificate remains unavailable.</x:v>
      </x:c>
      <x:c r="M65" s="11" t="str">
        <x:v>Required evaluation rules are enforced.</x:v>
      </x:c>
      <x:c r="N65" s="8" t="str">
        <x:v>Not Run</x:v>
      </x:c>
      <x:c r="O65" s="8" t="str"/>
      <x:c r="P65" s="9" t="str"/>
      <x:c r="Q65" s="11" t="str"/>
      <x:c r="R65" s="11" t="str"/>
      <x:c r="S65" s="8" t="str"/>
      <x:c r="T65" s="11" t="str"/>
    </x:row>
    <x:row r="66" ht="38" customHeight="1">
      <x:c r="A66" s="10" t="str">
        <x:v>TC-CERT-003</x:v>
      </x:c>
      <x:c r="B66" s="8" t="str">
        <x:v>261005-Skenario Ujifungsi.docx</x:v>
      </x:c>
      <x:c r="C66" s="8" t="str">
        <x:v>Certificate</x:v>
      </x:c>
      <x:c r="D66" s="8" t="str">
        <x:v>Evaluation</x:v>
      </x:c>
      <x:c r="E66" s="8" t="str">
        <x:v>Rating boundary and invalid rating</x:v>
      </x:c>
      <x:c r="F66" s="8" t="str">
        <x:v>Boundary</x:v>
      </x:c>
      <x:c r="G66" s="8" t="str">
        <x:v>Medium</x:v>
      </x:c>
      <x:c r="H66" s="8" t="str">
        <x:v>Peserta</x:v>
      </x:c>
      <x:c r="I66" s="11" t="str">
        <x:v>Evaluation form available</x:v>
      </x:c>
      <x:c r="J66" s="11" t="str">
        <x:v>Ratings below 1, above 5, and valid endpoints</x:v>
      </x:c>
      <x:c r="K66" s="11" t="str">
        <x:v>1. Attempt invalid and boundary ratings.
2. Submit.</x:v>
      </x:c>
      <x:c r="L66" s="11" t="str">
        <x:v>Only configured values are accepted; endpoints 1 and 5 behave correctly.</x:v>
      </x:c>
      <x:c r="M66" s="11" t="str">
        <x:v>Rating range is validated.</x:v>
      </x:c>
      <x:c r="N66" s="8" t="str">
        <x:v>Not Run</x:v>
      </x:c>
      <x:c r="O66" s="8" t="str"/>
      <x:c r="P66" s="9" t="str"/>
      <x:c r="Q66" s="11" t="str"/>
      <x:c r="R66" s="11" t="str"/>
      <x:c r="S66" s="8" t="str"/>
      <x:c r="T66" s="11" t="str"/>
    </x:row>
    <x:row r="67" ht="38" customHeight="1">
      <x:c r="A67" s="10" t="str">
        <x:v>TC-CERT-004</x:v>
      </x:c>
      <x:c r="B67" s="8" t="str">
        <x:v>261005-Skenario Ujifungsi.docx</x:v>
      </x:c>
      <x:c r="C67" s="8" t="str">
        <x:v>Certificate</x:v>
      </x:c>
      <x:c r="D67" s="8" t="str">
        <x:v>Evaluation</x:v>
      </x:c>
      <x:c r="E67" s="8" t="str">
        <x:v>Feedback length and special characters</x:v>
      </x:c>
      <x:c r="F67" s="8" t="str">
        <x:v>Boundary</x:v>
      </x:c>
      <x:c r="G67" s="8" t="str">
        <x:v>Medium</x:v>
      </x:c>
      <x:c r="H67" s="8" t="str">
        <x:v>Peserta</x:v>
      </x:c>
      <x:c r="I67" s="11" t="str">
        <x:v>Evaluation form available</x:v>
      </x:c>
      <x:c r="J67" s="11" t="str">
        <x:v>Empty, max-length, over-limit, HTML/script-like text</x:v>
      </x:c>
      <x:c r="K67" s="11" t="str">
        <x:v>1. Enter boundary and special-content feedback.
2. Submit.</x:v>
      </x:c>
      <x:c r="L67" s="11" t="str">
        <x:v>Length limits and output encoding are enforced; user-entered content is not executed as code.</x:v>
      </x:c>
      <x:c r="M67" s="11" t="str">
        <x:v>Feedback input is validated and safely rendered.</x:v>
      </x:c>
      <x:c r="N67" s="8" t="str">
        <x:v>Not Run</x:v>
      </x:c>
      <x:c r="O67" s="8" t="str"/>
      <x:c r="P67" s="9" t="str"/>
      <x:c r="Q67" s="11" t="str"/>
      <x:c r="R67" s="11" t="str"/>
      <x:c r="S67" s="8" t="str"/>
      <x:c r="T67" s="11" t="str"/>
    </x:row>
    <x:row r="68" ht="38" customHeight="1">
      <x:c r="A68" s="10" t="str">
        <x:v>TC-CERT-005</x:v>
      </x:c>
      <x:c r="B68" s="8" t="str">
        <x:v>261005-Skenario Ujifungsi.docx</x:v>
      </x:c>
      <x:c r="C68" s="8" t="str">
        <x:v>Certificate</x:v>
      </x:c>
      <x:c r="D68" s="8" t="str">
        <x:v>Evaluation</x:v>
      </x:c>
      <x:c r="E68" s="8" t="str">
        <x:v>Duplicate evaluation submission</x:v>
      </x:c>
      <x:c r="F68" s="8" t="str">
        <x:v>Security</x:v>
      </x:c>
      <x:c r="G68" s="8" t="str">
        <x:v>Medium</x:v>
      </x:c>
      <x:c r="H68" s="8" t="str">
        <x:v>Peserta</x:v>
      </x:c>
      <x:c r="I68" s="11" t="str">
        <x:v>Evaluation already submitted or submission is in progress</x:v>
      </x:c>
      <x:c r="J68" s="11" t="str">
        <x:v>Repeated clicks/resubmission</x:v>
      </x:c>
      <x:c r="K68" s="11" t="str">
        <x:v>1. Submit evaluation.
2. Repeat or refresh.</x:v>
      </x:c>
      <x:c r="L68" s="11" t="str">
        <x:v>One evaluation is recorded or the defined update behavior is applied; no duplicate records are created.</x:v>
      </x:c>
      <x:c r="M68" s="11" t="str">
        <x:v>Evaluation submission is idempotent.</x:v>
      </x:c>
      <x:c r="N68" s="8" t="str">
        <x:v>Not Run</x:v>
      </x:c>
      <x:c r="O68" s="8" t="str"/>
      <x:c r="P68" s="9" t="str"/>
      <x:c r="Q68" s="11" t="str"/>
      <x:c r="R68" s="11" t="str"/>
      <x:c r="S68" s="8" t="str"/>
      <x:c r="T68" s="11" t="str"/>
    </x:row>
    <x:row r="69" ht="38" customHeight="1">
      <x:c r="A69" s="10" t="str">
        <x:v>TC-CERT-006</x:v>
      </x:c>
      <x:c r="B69" s="8" t="str">
        <x:v>261005-Skenario Ujifungsi.docx</x:v>
      </x:c>
      <x:c r="C69" s="8" t="str">
        <x:v>Certificate</x:v>
      </x:c>
      <x:c r="D69" s="8" t="str">
        <x:v>Eligibility</x:v>
      </x:c>
      <x:c r="E69" s="8" t="str">
        <x:v>Certificate blocked for incomplete course</x:v>
      </x:c>
      <x:c r="F69" s="8" t="str">
        <x:v>Negative</x:v>
      </x:c>
      <x:c r="G69" s="8" t="str">
        <x:v>Critical</x:v>
      </x:c>
      <x:c r="H69" s="8" t="str">
        <x:v>Peserta</x:v>
      </x:c>
      <x:c r="I69" s="11" t="str">
        <x:v>At least one required activity incomplete</x:v>
      </x:c>
      <x:c r="J69" s="11" t="str">
        <x:v>Incomplete course</x:v>
      </x:c>
      <x:c r="K69" s="11" t="str">
        <x:v>1. Attempt to open/download certificate.</x:v>
      </x:c>
      <x:c r="L69" s="11" t="str">
        <x:v>Certificate action is hidden/disabled or rejected; no certificate is generated.</x:v>
      </x:c>
      <x:c r="M69" s="11" t="str">
        <x:v>Certificate requires completion and passing status.</x:v>
      </x:c>
      <x:c r="N69" s="8" t="str">
        <x:v>Not Run</x:v>
      </x:c>
      <x:c r="O69" s="8" t="str"/>
      <x:c r="P69" s="9" t="str"/>
      <x:c r="Q69" s="11" t="str"/>
      <x:c r="R69" s="11" t="str"/>
      <x:c r="S69" s="8" t="str"/>
      <x:c r="T69" s="11" t="str"/>
    </x:row>
    <x:row r="70" ht="38" customHeight="1">
      <x:c r="A70" s="10" t="str">
        <x:v>TC-CERT-007</x:v>
      </x:c>
      <x:c r="B70" s="8" t="str">
        <x:v>261005-Skenario Ujifungsi.docx</x:v>
      </x:c>
      <x:c r="C70" s="8" t="str">
        <x:v>Certificate</x:v>
      </x:c>
      <x:c r="D70" s="8" t="str">
        <x:v>Generation</x:v>
      </x:c>
      <x:c r="E70" s="8" t="str">
        <x:v>Generate certificate with accurate data</x:v>
      </x:c>
      <x:c r="F70" s="8" t="str">
        <x:v>Positive</x:v>
      </x:c>
      <x:c r="G70" s="8" t="str">
        <x:v>Critical</x:v>
      </x:c>
      <x:c r="H70" s="8" t="str">
        <x:v>Peserta</x:v>
      </x:c>
      <x:c r="I70" s="11" t="str">
        <x:v>User passed and evaluation requirements met</x:v>
      </x:c>
      <x:c r="J70" s="11" t="str">
        <x:v>Known user, course, pass date</x:v>
      </x:c>
      <x:c r="K70" s="11" t="str">
        <x:v>1. Submit required evaluation.
2. Click Unduh E-Certificate.
3. Inspect PDF.</x:v>
      </x:c>
      <x:c r="L70" s="11" t="str">
        <x:v>PDF opens and contains accurate user name, course name, completion date, and unique certificate number.</x:v>
      </x:c>
      <x:c r="M70" s="11" t="str">
        <x:v>Certificate data is generated from the correct record.</x:v>
      </x:c>
      <x:c r="N70" s="8" t="str">
        <x:v>Not Run</x:v>
      </x:c>
      <x:c r="O70" s="8" t="str"/>
      <x:c r="P70" s="9" t="str"/>
      <x:c r="Q70" s="11" t="str"/>
      <x:c r="R70" s="11" t="str"/>
      <x:c r="S70" s="8" t="str"/>
      <x:c r="T70" s="11" t="str"/>
    </x:row>
    <x:row r="71" ht="38" customHeight="1">
      <x:c r="A71" s="10" t="str">
        <x:v>TC-CERT-008</x:v>
      </x:c>
      <x:c r="B71" s="8" t="str">
        <x:v>261005-Skenario Ujifungsi.docx</x:v>
      </x:c>
      <x:c r="C71" s="8" t="str">
        <x:v>Certificate</x:v>
      </x:c>
      <x:c r="D71" s="8" t="str">
        <x:v>Generation</x:v>
      </x:c>
      <x:c r="E71" s="8" t="str">
        <x:v>Certificate number is unique and traceable</x:v>
      </x:c>
      <x:c r="F71" s="8" t="str">
        <x:v>Security</x:v>
      </x:c>
      <x:c r="G71" s="8" t="str">
        <x:v>High</x:v>
      </x:c>
      <x:c r="H71" s="8" t="str">
        <x:v>Admin/Peserta</x:v>
      </x:c>
      <x:c r="I71" s="11" t="str">
        <x:v>Two eligible completions exist</x:v>
      </x:c>
      <x:c r="J71" s="11" t="str">
        <x:v>Two certificates</x:v>
      </x:c>
      <x:c r="K71" s="11" t="str">
        <x:v>1. Generate two certificates.
2. Compare numbers and records.</x:v>
      </x:c>
      <x:c r="L71" s="11" t="str">
        <x:v>Numbers are unique, traceable to the correct user/course, and not reused after re-enrollment unless policy states otherwise.</x:v>
      </x:c>
      <x:c r="M71" s="11" t="str">
        <x:v>Certificate identifiers are unique.</x:v>
      </x:c>
      <x:c r="N71" s="8" t="str">
        <x:v>Not Run</x:v>
      </x:c>
      <x:c r="O71" s="8" t="str"/>
      <x:c r="P71" s="9" t="str"/>
      <x:c r="Q71" s="11" t="str"/>
      <x:c r="R71" s="11" t="str"/>
      <x:c r="S71" s="8" t="str"/>
      <x:c r="T71" s="11" t="str"/>
    </x:row>
    <x:row r="72" ht="38" customHeight="1">
      <x:c r="A72" s="10" t="str">
        <x:v>TC-CERT-009</x:v>
      </x:c>
      <x:c r="B72" s="8" t="str">
        <x:v>261005-Skenario Ujifungsi.docx</x:v>
      </x:c>
      <x:c r="C72" s="8" t="str">
        <x:v>Certificate</x:v>
      </x:c>
      <x:c r="D72" s="8" t="str">
        <x:v>Download</x:v>
      </x:c>
      <x:c r="E72" s="8" t="str">
        <x:v>Download and redownload certificate</x:v>
      </x:c>
      <x:c r="F72" s="8" t="str">
        <x:v>Positive</x:v>
      </x:c>
      <x:c r="G72" s="8" t="str">
        <x:v>High</x:v>
      </x:c>
      <x:c r="H72" s="8" t="str">
        <x:v>Peserta</x:v>
      </x:c>
      <x:c r="I72" s="11" t="str">
        <x:v>Certificate exists</x:v>
      </x:c>
      <x:c r="J72" s="11" t="str">
        <x:v>Generated PDF</x:v>
      </x:c>
      <x:c r="K72" s="11" t="str">
        <x:v>1. Download certificate.
2. Download again.
3. Open both files.</x:v>
      </x:c>
      <x:c r="L72" s="11" t="str">
        <x:v>Both downloads are complete, readable, and identical or versioned according to policy.</x:v>
      </x:c>
      <x:c r="M72" s="11" t="str">
        <x:v>Generated certificates remain retrievable.</x:v>
      </x:c>
      <x:c r="N72" s="8" t="str">
        <x:v>Not Run</x:v>
      </x:c>
      <x:c r="O72" s="8" t="str"/>
      <x:c r="P72" s="9" t="str"/>
      <x:c r="Q72" s="11" t="str"/>
      <x:c r="R72" s="11" t="str"/>
      <x:c r="S72" s="8" t="str"/>
      <x:c r="T72" s="11" t="str"/>
    </x:row>
    <x:row r="73" ht="38" customHeight="1">
      <x:c r="A73" s="10" t="str">
        <x:v>TC-CERT-010</x:v>
      </x:c>
      <x:c r="B73" s="8" t="str">
        <x:v>261005-Skenario Ujifungsi Admin.docx</x:v>
      </x:c>
      <x:c r="C73" s="8" t="str">
        <x:v>Certificate</x:v>
      </x:c>
      <x:c r="D73" s="8" t="str">
        <x:v>Admin monitoring</x:v>
      </x:c>
      <x:c r="E73" s="8" t="str">
        <x:v>Admin previews and downloads certificate</x:v>
      </x:c>
      <x:c r="F73" s="8" t="str">
        <x:v>Positive</x:v>
      </x:c>
      <x:c r="G73" s="8" t="str">
        <x:v>High</x:v>
      </x:c>
      <x:c r="H73" s="8" t="str">
        <x:v>Admin</x:v>
      </x:c>
      <x:c r="I73" s="11" t="str">
        <x:v>Issued certificate exists and Admin has permission</x:v>
      </x:c>
      <x:c r="J73" s="11" t="str">
        <x:v>Certificate record</x:v>
      </x:c>
      <x:c r="K73" s="11" t="str">
        <x:v>1. Open certificate list.
2. Select a record.
3. Preview and download.</x:v>
      </x:c>
      <x:c r="L73" s="11" t="str">
        <x:v>Preview/download succeeds and the document matches the selected record.</x:v>
      </x:c>
      <x:c r="M73" s="11" t="str">
        <x:v>Authorized Admin can monitor issued certificates.</x:v>
      </x:c>
      <x:c r="N73" s="8" t="str">
        <x:v>Not Run</x:v>
      </x:c>
      <x:c r="O73" s="8" t="str"/>
      <x:c r="P73" s="9" t="str"/>
      <x:c r="Q73" s="11" t="str"/>
      <x:c r="R73" s="11" t="str"/>
      <x:c r="S73" s="8" t="str"/>
      <x:c r="T73" s="11" t="str"/>
    </x:row>
    <x:row r="74" ht="38" customHeight="1">
      <x:c r="A74" s="10" t="str">
        <x:v>TC-TIME-001</x:v>
      </x:c>
      <x:c r="B74" s="8" t="str">
        <x:v>261005-Skenario Ujifungsi.docx</x:v>
      </x:c>
      <x:c r="C74" s="8" t="str">
        <x:v>Time Limit</x:v>
      </x:c>
      <x:c r="D74" s="8" t="str">
        <x:v>Activation</x:v>
      </x:c>
      <x:c r="E74" s="8" t="str">
        <x:v>Deadline starts from enrollment/activation</x:v>
      </x:c>
      <x:c r="F74" s="8" t="str">
        <x:v>Positive</x:v>
      </x:c>
      <x:c r="G74" s="8" t="str">
        <x:v>Critical</x:v>
      </x:c>
      <x:c r="H74" s="8" t="str">
        <x:v>Peserta</x:v>
      </x:c>
      <x:c r="I74" s="11" t="str">
        <x:v>Course has configured active period</x:v>
      </x:c>
      <x:c r="J74" s="11" t="str">
        <x:v>Course with 7-day active period</x:v>
      </x:c>
      <x:c r="K74" s="11" t="str">
        <x:v>1. Enroll at a known time.
2. Open course detail.</x:v>
      </x:c>
      <x:c r="L74" s="11" t="str">
        <x:v>Start and end timestamps are calculated from the approved activation rule.</x:v>
      </x:c>
      <x:c r="M74" s="11" t="str">
        <x:v>Active period begins at the defined event.</x:v>
      </x:c>
      <x:c r="N74" s="8" t="str">
        <x:v>Not Run</x:v>
      </x:c>
      <x:c r="O74" s="8" t="str"/>
      <x:c r="P74" s="9" t="str"/>
      <x:c r="Q74" s="11" t="str"/>
      <x:c r="R74" s="11" t="str"/>
      <x:c r="S74" s="8" t="str"/>
      <x:c r="T74" s="11" t="str"/>
    </x:row>
    <x:row r="75" ht="38" customHeight="1">
      <x:c r="A75" s="10" t="str">
        <x:v>TC-TIME-002</x:v>
      </x:c>
      <x:c r="B75" s="8" t="str">
        <x:v>261005-Skenario Ujifungsi.docx</x:v>
      </x:c>
      <x:c r="C75" s="8" t="str">
        <x:v>Time Limit</x:v>
      </x:c>
      <x:c r="D75" s="8" t="str">
        <x:v>Display</x:v>
      </x:c>
      <x:c r="E75" s="8" t="str">
        <x:v>Deadline is visible</x:v>
      </x:c>
      <x:c r="F75" s="8" t="str">
        <x:v>Positive</x:v>
      </x:c>
      <x:c r="G75" s="8" t="str">
        <x:v>High</x:v>
      </x:c>
      <x:c r="H75" s="8" t="str">
        <x:v>Peserta</x:v>
      </x:c>
      <x:c r="I75" s="11" t="str">
        <x:v>Active enrolled course</x:v>
      </x:c>
      <x:c r="J75" s="11" t="str">
        <x:v>Deadline fixture</x:v>
      </x:c>
      <x:c r="K75" s="11" t="str">
        <x:v>1. Open dashboard and course detail.
2. Inspect deadline/countdown.</x:v>
      </x:c>
      <x:c r="L75" s="11" t="str">
        <x:v>Deadline or countdown is clear, consistent across views, and uses the correct timezone.</x:v>
      </x:c>
      <x:c r="M75" s="11" t="str">
        <x:v>Time limit is visible to users.</x:v>
      </x:c>
      <x:c r="N75" s="8" t="str">
        <x:v>Not Run</x:v>
      </x:c>
      <x:c r="O75" s="8" t="str"/>
      <x:c r="P75" s="9" t="str"/>
      <x:c r="Q75" s="11" t="str"/>
      <x:c r="R75" s="11" t="str"/>
      <x:c r="S75" s="8" t="str"/>
      <x:c r="T75" s="11" t="str"/>
    </x:row>
    <x:row r="76" ht="38" customHeight="1">
      <x:c r="A76" s="10" t="str">
        <x:v>TC-TIME-003</x:v>
      </x:c>
      <x:c r="B76" s="8" t="str">
        <x:v>261005-Skenario Ujifungsi.docx</x:v>
      </x:c>
      <x:c r="C76" s="8" t="str">
        <x:v>Time Limit</x:v>
      </x:c>
      <x:c r="D76" s="8" t="str">
        <x:v>Countdown</x:v>
      </x:c>
      <x:c r="E76" s="8" t="str">
        <x:v>Countdown accuracy and refresh</x:v>
      </x:c>
      <x:c r="F76" s="8" t="str">
        <x:v>Boundary</x:v>
      </x:c>
      <x:c r="G76" s="8" t="str">
        <x:v>High</x:v>
      </x:c>
      <x:c r="H76" s="8" t="str">
        <x:v>Peserta</x:v>
      </x:c>
      <x:c r="I76" s="11" t="str">
        <x:v>Active course with short test period</x:v>
      </x:c>
      <x:c r="J76" s="11" t="str">
        <x:v>Known server time; countdown</x:v>
      </x:c>
      <x:c r="K76" s="11" t="str">
        <x:v>1. Record displayed time.
2. Wait and refresh.
3. Compare with server time.</x:v>
      </x:c>
      <x:c r="L76" s="11" t="str">
        <x:v>Countdown decreases correctly and does not reset by refresh or client clock changes.</x:v>
      </x:c>
      <x:c r="M76" s="11" t="str">
        <x:v>Server time is authoritative.</x:v>
      </x:c>
      <x:c r="N76" s="8" t="str">
        <x:v>Not Run</x:v>
      </x:c>
      <x:c r="O76" s="8" t="str"/>
      <x:c r="P76" s="9" t="str"/>
      <x:c r="Q76" s="11" t="str"/>
      <x:c r="R76" s="11" t="str"/>
      <x:c r="S76" s="8" t="str"/>
      <x:c r="T76" s="11" t="str"/>
    </x:row>
    <x:row r="77" ht="38" customHeight="1">
      <x:c r="A77" s="10" t="str">
        <x:v>TC-TIME-004</x:v>
      </x:c>
      <x:c r="B77" s="8" t="str">
        <x:v>261005-Skenario Ujifungsi.docx</x:v>
      </x:c>
      <x:c r="C77" s="8" t="str">
        <x:v>Time Limit</x:v>
      </x:c>
      <x:c r="D77" s="8" t="str">
        <x:v>Notification</x:v>
      </x:c>
      <x:c r="E77" s="8" t="str">
        <x:v>Reminder at H-3</x:v>
      </x:c>
      <x:c r="F77" s="8" t="str">
        <x:v>Integration</x:v>
      </x:c>
      <x:c r="G77" s="8" t="str">
        <x:v>Medium</x:v>
      </x:c>
      <x:c r="H77" s="8" t="str">
        <x:v>Peserta</x:v>
      </x:c>
      <x:c r="I77" s="11" t="str">
        <x:v>Reminder scheduler and channel configured</x:v>
      </x:c>
      <x:c r="J77" s="11" t="str">
        <x:v>Course expiring in three days</x:v>
      </x:c>
      <x:c r="K77" s="11" t="str">
        <x:v>1. Set/test expiration at H-3.
2. Observe notification.</x:v>
      </x:c>
      <x:c r="L77" s="11" t="str">
        <x:v>Exactly one reminder is delivered through the configured channel with correct course and deadline.</x:v>
      </x:c>
      <x:c r="M77" s="11" t="str">
        <x:v>Reminder schedule is configured and observable.</x:v>
      </x:c>
      <x:c r="N77" s="8" t="str">
        <x:v>Not Run</x:v>
      </x:c>
      <x:c r="O77" s="8" t="str"/>
      <x:c r="P77" s="9" t="str"/>
      <x:c r="Q77" s="11" t="str"/>
      <x:c r="R77" s="11" t="str"/>
      <x:c r="S77" s="8" t="str"/>
      <x:c r="T77" s="11" t="str"/>
    </x:row>
    <x:row r="78" ht="38" customHeight="1">
      <x:c r="A78" s="10" t="str">
        <x:v>TC-TIME-005</x:v>
      </x:c>
      <x:c r="B78" s="8" t="str">
        <x:v>261005-Skenario Ujifungsi.docx</x:v>
      </x:c>
      <x:c r="C78" s="8" t="str">
        <x:v>Time Limit</x:v>
      </x:c>
      <x:c r="D78" s="8" t="str">
        <x:v>Notification</x:v>
      </x:c>
      <x:c r="E78" s="8" t="str">
        <x:v>Reminder at H-1</x:v>
      </x:c>
      <x:c r="F78" s="8" t="str">
        <x:v>Integration</x:v>
      </x:c>
      <x:c r="G78" s="8" t="str">
        <x:v>Medium</x:v>
      </x:c>
      <x:c r="H78" s="8" t="str">
        <x:v>Peserta</x:v>
      </x:c>
      <x:c r="I78" s="11" t="str">
        <x:v>Reminder scheduler and channel configured</x:v>
      </x:c>
      <x:c r="J78" s="11" t="str">
        <x:v>Course expiring in one day</x:v>
      </x:c>
      <x:c r="K78" s="11" t="str">
        <x:v>1. Set/test expiration at H-1.
2. Observe notification.</x:v>
      </x:c>
      <x:c r="L78" s="11" t="str">
        <x:v>Exactly one H-1 reminder is delivered according to policy.</x:v>
      </x:c>
      <x:c r="M78" s="11" t="str">
        <x:v>Reminder schedule includes the approved warning points.</x:v>
      </x:c>
      <x:c r="N78" s="8" t="str">
        <x:v>Not Run</x:v>
      </x:c>
      <x:c r="O78" s="8" t="str"/>
      <x:c r="P78" s="9" t="str"/>
      <x:c r="Q78" s="11" t="str"/>
      <x:c r="R78" s="11" t="str"/>
      <x:c r="S78" s="8" t="str"/>
      <x:c r="T78" s="11" t="str"/>
    </x:row>
    <x:row r="79" ht="38" customHeight="1">
      <x:c r="A79" s="10" t="str">
        <x:v>TC-TIME-006</x:v>
      </x:c>
      <x:c r="B79" s="8" t="str">
        <x:v>261005-Skenario Ujifungsi.docx</x:v>
      </x:c>
      <x:c r="C79" s="8" t="str">
        <x:v>Time Limit</x:v>
      </x:c>
      <x:c r="D79" s="8" t="str">
        <x:v>Notification</x:v>
      </x:c>
      <x:c r="E79" s="8" t="str">
        <x:v>No duplicate or stale reminders</x:v>
      </x:c>
      <x:c r="F79" s="8" t="str">
        <x:v>Negative</x:v>
      </x:c>
      <x:c r="G79" s="8" t="str">
        <x:v>Medium</x:v>
      </x:c>
      <x:c r="H79" s="8" t="str">
        <x:v>Peserta</x:v>
      </x:c>
      <x:c r="I79" s="11" t="str">
        <x:v>Reminder job can run repeatedly</x:v>
      </x:c>
      <x:c r="J79" s="11" t="str">
        <x:v>Same course and deadline</x:v>
      </x:c>
      <x:c r="K79" s="11" t="str">
        <x:v>1. Run the reminder job more than once.
2. Inspect notifications.</x:v>
      </x:c>
      <x:c r="L79" s="11" t="str">
        <x:v>No duplicate reminders are created and reminders stop after expiry or completion according to policy.</x:v>
      </x:c>
      <x:c r="M79" s="11" t="str">
        <x:v>Reminder jobs are idempotent.</x:v>
      </x:c>
      <x:c r="N79" s="8" t="str">
        <x:v>Not Run</x:v>
      </x:c>
      <x:c r="O79" s="8" t="str"/>
      <x:c r="P79" s="9" t="str"/>
      <x:c r="Q79" s="11" t="str"/>
      <x:c r="R79" s="11" t="str"/>
      <x:c r="S79" s="8" t="str"/>
      <x:c r="T79" s="11" t="str"/>
    </x:row>
    <x:row r="80" ht="38" customHeight="1">
      <x:c r="A80" s="10" t="str">
        <x:v>TC-TIME-007</x:v>
      </x:c>
      <x:c r="B80" s="8" t="str">
        <x:v>261005-Skenario Ujifungsi.docx</x:v>
      </x:c>
      <x:c r="C80" s="8" t="str">
        <x:v>Time Limit</x:v>
      </x:c>
      <x:c r="D80" s="8" t="str">
        <x:v>Timezone</x:v>
      </x:c>
      <x:c r="E80" s="8" t="str">
        <x:v>Deadline around timezone boundary</x:v>
      </x:c>
      <x:c r="F80" s="8" t="str">
        <x:v>Boundary</x:v>
      </x:c>
      <x:c r="G80" s="8" t="str">
        <x:v>High</x:v>
      </x:c>
      <x:c r="H80" s="8" t="str">
        <x:v>Peserta</x:v>
      </x:c>
      <x:c r="I80" s="11" t="str">
        <x:v>System timezone policy documented</x:v>
      </x:c>
      <x:c r="J80" s="11" t="str">
        <x:v>User/browser in a different timezone</x:v>
      </x:c>
      <x:c r="K80" s="11" t="str">
        <x:v>1. Enroll in one timezone.
2. View from another timezone or set browser timezone.</x:v>
      </x:c>
      <x:c r="L80" s="11" t="str">
        <x:v>Displayed times follow the documented timezone policy and backend comparisons remain correct.</x:v>
      </x:c>
      <x:c r="M80" s="11" t="str">
        <x:v>Timezone conversion is explicit.</x:v>
      </x:c>
      <x:c r="N80" s="8" t="str">
        <x:v>Not Run</x:v>
      </x:c>
      <x:c r="O80" s="8" t="str"/>
      <x:c r="P80" s="9" t="str"/>
      <x:c r="Q80" s="11" t="str"/>
      <x:c r="R80" s="11" t="str"/>
      <x:c r="S80" s="8" t="str"/>
      <x:c r="T80" s="11" t="str"/>
    </x:row>
    <x:row r="81" ht="38" customHeight="1">
      <x:c r="A81" s="10" t="str">
        <x:v>TC-TIME-008</x:v>
      </x:c>
      <x:c r="B81" s="8" t="str">
        <x:v>261005-Skenario Ujifungsi.docx</x:v>
      </x:c>
      <x:c r="C81" s="8" t="str">
        <x:v>Time Limit</x:v>
      </x:c>
      <x:c r="D81" s="8" t="str">
        <x:v>Expiry</x:v>
      </x:c>
      <x:c r="E81" s="8" t="str">
        <x:v>Access is blocked after expiry</x:v>
      </x:c>
      <x:c r="F81" s="8" t="str">
        <x:v>Critical</x:v>
      </x:c>
      <x:c r="G81" s="8" t="str">
        <x:v>Critical</x:v>
      </x:c>
      <x:c r="H81" s="8" t="str">
        <x:v>Peserta</x:v>
      </x:c>
      <x:c r="I81" s="11" t="str">
        <x:v>Course is expired</x:v>
      </x:c>
      <x:c r="J81" s="11" t="str">
        <x:v>Expired course; attempt to open video/quiz</x:v>
      </x:c>
      <x:c r="K81" s="11" t="str">
        <x:v>1. Open expired course.
2. Try to continue an activity.</x:v>
      </x:c>
      <x:c r="L81" s="11" t="str">
        <x:v>System rejects access, shows Time Expired, and does not accept progress or submissions.</x:v>
      </x:c>
      <x:c r="M81" s="11" t="str">
        <x:v>Expired training cannot be continued.</x:v>
      </x:c>
      <x:c r="N81" s="8" t="str">
        <x:v>Not Run</x:v>
      </x:c>
      <x:c r="O81" s="8" t="str"/>
      <x:c r="P81" s="9" t="str"/>
      <x:c r="Q81" s="11" t="str"/>
      <x:c r="R81" s="11" t="str"/>
      <x:c r="S81" s="8" t="str"/>
      <x:c r="T81" s="11" t="str"/>
    </x:row>
    <x:row r="82" ht="38" customHeight="1">
      <x:c r="A82" s="10" t="str">
        <x:v>TC-TIME-009</x:v>
      </x:c>
      <x:c r="B82" s="8" t="str">
        <x:v>261005-Skenario Ujifungsi.docx</x:v>
      </x:c>
      <x:c r="C82" s="8" t="str">
        <x:v>Time Limit</x:v>
      </x:c>
      <x:c r="D82" s="8" t="str">
        <x:v>Expiry</x:v>
      </x:c>
      <x:c r="E82" s="8" t="str">
        <x:v>Expiry while activity page is open</x:v>
      </x:c>
      <x:c r="F82" s="8" t="str">
        <x:v>Security</x:v>
      </x:c>
      <x:c r="G82" s="8" t="str">
        <x:v>Critical</x:v>
      </x:c>
      <x:c r="H82" s="8" t="str">
        <x:v>Peserta</x:v>
      </x:c>
      <x:c r="I82" s="11" t="str">
        <x:v>Activity page open near deadline</x:v>
      </x:c>
      <x:c r="J82" s="11" t="str">
        <x:v>Let server deadline pass while page remains open</x:v>
      </x:c>
      <x:c r="K82" s="11" t="str">
        <x:v>1. Open activity before expiry.
2. Wait past deadline.
3. Submit or request next activity.</x:v>
      </x:c>
      <x:c r="L82" s="11" t="str">
        <x:v>Backend rejects post-expiry actions even if the page was opened earlier.</x:v>
      </x:c>
      <x:c r="M82" s="11" t="str">
        <x:v>Expiry is enforced on every protected action.</x:v>
      </x:c>
      <x:c r="N82" s="8" t="str">
        <x:v>Not Run</x:v>
      </x:c>
      <x:c r="O82" s="8" t="str"/>
      <x:c r="P82" s="9" t="str"/>
      <x:c r="Q82" s="11" t="str"/>
      <x:c r="R82" s="11" t="str"/>
      <x:c r="S82" s="8" t="str"/>
      <x:c r="T82" s="11" t="str"/>
    </x:row>
    <x:row r="83" ht="38" customHeight="1">
      <x:c r="A83" s="10" t="str">
        <x:v>TC-TIME-010</x:v>
      </x:c>
      <x:c r="B83" s="8" t="str">
        <x:v>261005-Skenario Ujifungsi.docx</x:v>
      </x:c>
      <x:c r="C83" s="8" t="str">
        <x:v>Time Limit</x:v>
      </x:c>
      <x:c r="D83" s="8" t="str">
        <x:v>Re-enrollment</x:v>
      </x:c>
      <x:c r="E83" s="8" t="str">
        <x:v>Expired course offers restart/re-enroll action</x:v>
      </x:c>
      <x:c r="F83" s="8" t="str">
        <x:v>Positive</x:v>
      </x:c>
      <x:c r="G83" s="8" t="str">
        <x:v>High</x:v>
      </x:c>
      <x:c r="H83" s="8" t="str">
        <x:v>Peserta</x:v>
      </x:c>
      <x:c r="I83" s="11" t="str">
        <x:v>Course expired and restart policy allows re-enrollment</x:v>
      </x:c>
      <x:c r="J83" s="11" t="str">
        <x:v>Expired course</x:v>
      </x:c>
      <x:c r="K83" s="11" t="str">
        <x:v>1. Open expired course.
2. Click Mulai Ulang/Re-enroll.</x:v>
      </x:c>
      <x:c r="L83" s="11" t="str">
        <x:v>Action is available only when allowed and starts the configured restart flow.</x:v>
      </x:c>
      <x:c r="M83" s="11" t="str">
        <x:v>Expired status exposes the approved next action.</x:v>
      </x:c>
      <x:c r="N83" s="8" t="str">
        <x:v>Not Run</x:v>
      </x:c>
      <x:c r="O83" s="8" t="str"/>
      <x:c r="P83" s="9" t="str"/>
      <x:c r="Q83" s="11" t="str"/>
      <x:c r="R83" s="11" t="str"/>
      <x:c r="S83" s="8" t="str"/>
      <x:c r="T83" s="11" t="str"/>
    </x:row>
    <x:row r="84" ht="38" customHeight="1">
      <x:c r="A84" s="10" t="str">
        <x:v>TC-TIME-011</x:v>
      </x:c>
      <x:c r="B84" s="8" t="str">
        <x:v>261005-Skenario Ujifungsi.docx</x:v>
      </x:c>
      <x:c r="C84" s="8" t="str">
        <x:v>Time Limit</x:v>
      </x:c>
      <x:c r="D84" s="8" t="str">
        <x:v>Reset</x:v>
      </x:c>
      <x:c r="E84" s="8" t="str">
        <x:v>Re-enroll resets progress and prior state</x:v>
      </x:c>
      <x:c r="F84" s="8" t="str">
        <x:v>Critical</x:v>
      </x:c>
      <x:c r="G84" s="8" t="str">
        <x:v>Critical</x:v>
      </x:c>
      <x:c r="H84" s="8" t="str">
        <x:v>Peserta</x:v>
      </x:c>
      <x:c r="I84" s="11" t="str">
        <x:v>Expired course with previous progress, scores, and assignment</x:v>
      </x:c>
      <x:c r="J84" s="11" t="str">
        <x:v>Re-enroll course</x:v>
      </x:c>
      <x:c r="K84" s="11" t="str">
        <x:v>1. Re-enroll.
2. Inspect all activity states and dashboard progress.</x:v>
      </x:c>
      <x:c r="L84" s="11" t="str">
        <x:v>Progress returns to the defined starting state; score/task handling follows retention policy; course behaves as a new activation where required.</x:v>
      </x:c>
      <x:c r="M84" s="11" t="str">
        <x:v>Expiry reset is deterministic.</x:v>
      </x:c>
      <x:c r="N84" s="8" t="str">
        <x:v>Not Run</x:v>
      </x:c>
      <x:c r="O84" s="8" t="str"/>
      <x:c r="P84" s="9" t="str"/>
      <x:c r="Q84" s="11" t="str"/>
      <x:c r="R84" s="11" t="str"/>
      <x:c r="S84" s="8" t="str"/>
      <x:c r="T84" s="11" t="str"/>
    </x:row>
    <x:row r="85" ht="38" customHeight="1">
      <x:c r="A85" s="10" t="str">
        <x:v>TC-TIME-012</x:v>
      </x:c>
      <x:c r="B85" s="8" t="str">
        <x:v>261005-Skenario Ujifungsi.docx</x:v>
      </x:c>
      <x:c r="C85" s="8" t="str">
        <x:v>Time Limit</x:v>
      </x:c>
      <x:c r="D85" s="8" t="str">
        <x:v>Job recovery</x:v>
      </x:c>
      <x:c r="E85" s="8" t="str">
        <x:v>Expiry/reminder job failure and recovery</x:v>
      </x:c>
      <x:c r="F85" s="8" t="str">
        <x:v>Recovery</x:v>
      </x:c>
      <x:c r="G85" s="8" t="str">
        <x:v>Medium</x:v>
      </x:c>
      <x:c r="H85" s="8" t="str">
        <x:v>Admin/System</x:v>
      </x:c>
      <x:c r="I85" s="11" t="str">
        <x:v>Scheduler monitoring or retry exists</x:v>
      </x:c>
      <x:c r="J85" s="11" t="str">
        <x:v>Temporarily fail scheduled job</x:v>
      </x:c>
      <x:c r="K85" s="11" t="str">
        <x:v>1. Simulate failed job.
2. Restore service.
3. Run retry/recovery.</x:v>
      </x:c>
      <x:c r="L85" s="11" t="str">
        <x:v>Missed events are retried or surfaced for action without duplicate state changes.</x:v>
      </x:c>
      <x:c r="M85" s="11" t="str">
        <x:v>Scheduled jobs have recovery behavior.</x:v>
      </x:c>
      <x:c r="N85" s="8" t="str">
        <x:v>Not Run</x:v>
      </x:c>
      <x:c r="O85" s="8" t="str"/>
      <x:c r="P85" s="9" t="str"/>
      <x:c r="Q85" s="11" t="str"/>
      <x:c r="R85" s="11" t="str"/>
      <x:c r="S85" s="8" t="str"/>
      <x:c r="T85" s="11" t="str"/>
    </x:row>
    <x:row r="86" ht="38" customHeight="1">
      <x:c r="A86" s="10" t="str">
        <x:v>TC-ADMIN-001</x:v>
      </x:c>
      <x:c r="B86" s="8" t="str">
        <x:v>261005-Skenario Ujifungsi Admin.docx</x:v>
      </x:c>
      <x:c r="C86" s="8" t="str">
        <x:v>Admin</x:v>
      </x:c>
      <x:c r="D86" s="8" t="str">
        <x:v>Authorization</x:v>
      </x:c>
      <x:c r="E86" s="8" t="str">
        <x:v>Non-Admin cannot access Admin menu</x:v>
      </x:c>
      <x:c r="F86" s="8" t="str">
        <x:v>Security</x:v>
      </x:c>
      <x:c r="G86" s="8" t="str">
        <x:v>Critical</x:v>
      </x:c>
      <x:c r="H86" s="8" t="str">
        <x:v>Pemateri/Peserta</x:v>
      </x:c>
      <x:c r="I86" s="11" t="str">
        <x:v>Non-Admin account exists</x:v>
      </x:c>
      <x:c r="J86" s="11" t="str">
        <x:v>Protected Admin URL</x:v>
      </x:c>
      <x:c r="K86" s="11" t="str">
        <x:v>1. Login as non-Admin.
2. Open Admin URL directly.</x:v>
      </x:c>
      <x:c r="L86" s="11" t="str">
        <x:v>Access is rejected and no Admin data is disclosed.</x:v>
      </x:c>
      <x:c r="M86" s="11" t="str">
        <x:v>Admin functions are role-protected.</x:v>
      </x:c>
      <x:c r="N86" s="8" t="str">
        <x:v>Not Run</x:v>
      </x:c>
      <x:c r="O86" s="8" t="str"/>
      <x:c r="P86" s="9" t="str"/>
      <x:c r="Q86" s="11" t="str"/>
      <x:c r="R86" s="11" t="str"/>
      <x:c r="S86" s="8" t="str"/>
      <x:c r="T86" s="11" t="str"/>
    </x:row>
    <x:row r="87" ht="38" customHeight="1">
      <x:c r="A87" s="10" t="str">
        <x:v>TC-ADMIN-002</x:v>
      </x:c>
      <x:c r="B87" s="8" t="str">
        <x:v>261005-Skenario Ujifungsi Admin.docx</x:v>
      </x:c>
      <x:c r="C87" s="8" t="str">
        <x:v>Admin</x:v>
      </x:c>
      <x:c r="D87" s="8" t="str">
        <x:v>Instructor</x:v>
      </x:c>
      <x:c r="E87" s="8" t="str">
        <x:v>Create instructor with valid data</x:v>
      </x:c>
      <x:c r="F87" s="8" t="str">
        <x:v>Positive</x:v>
      </x:c>
      <x:c r="G87" s="8" t="str">
        <x:v>High</x:v>
      </x:c>
      <x:c r="H87" s="8" t="str">
        <x:v>Admin</x:v>
      </x:c>
      <x:c r="I87" s="11" t="str">
        <x:v>Admin is logged in</x:v>
      </x:c>
      <x:c r="J87" s="11" t="str">
        <x:v>Unique name, email, specialization, phone, valid photo</x:v>
      </x:c>
      <x:c r="K87" s="11" t="str">
        <x:v>1. Open Pemateri &gt; Tambah Pemateri.
2. Complete fields.
3. Save.</x:v>
      </x:c>
      <x:c r="L87" s="11" t="str">
        <x:v>Record is saved once, appears in the list, and success feedback is shown.</x:v>
      </x:c>
      <x:c r="M87" s="11" t="str">
        <x:v>Admin can create valid instructor records.</x:v>
      </x:c>
      <x:c r="N87" s="8" t="str">
        <x:v>Not Run</x:v>
      </x:c>
      <x:c r="O87" s="8" t="str"/>
      <x:c r="P87" s="9" t="str"/>
      <x:c r="Q87" s="11" t="str"/>
      <x:c r="R87" s="11" t="str"/>
      <x:c r="S87" s="8" t="str"/>
      <x:c r="T87" s="11" t="str"/>
    </x:row>
    <x:row r="88" ht="38" customHeight="1">
      <x:c r="A88" s="10" t="str">
        <x:v>TC-ADMIN-003</x:v>
      </x:c>
      <x:c r="B88" s="8" t="str">
        <x:v>261005-Skenario Ujifungsi Admin.docx</x:v>
      </x:c>
      <x:c r="C88" s="8" t="str">
        <x:v>Admin</x:v>
      </x:c>
      <x:c r="D88" s="8" t="str">
        <x:v>Instructor</x:v>
      </x:c>
      <x:c r="E88" s="8" t="str">
        <x:v>Create instructor with duplicate email</x:v>
      </x:c>
      <x:c r="F88" s="8" t="str">
        <x:v>Negative</x:v>
      </x:c>
      <x:c r="G88" s="8" t="str">
        <x:v>High</x:v>
      </x:c>
      <x:c r="H88" s="8" t="str">
        <x:v>Admin</x:v>
      </x:c>
      <x:c r="I88" s="11" t="str">
        <x:v>Existing instructor email</x:v>
      </x:c>
      <x:c r="J88" s="11" t="str">
        <x:v>Duplicate email</x:v>
      </x:c>
      <x:c r="K88" s="11" t="str">
        <x:v>1. Open create form.
2. Enter duplicate email.
3. Save.</x:v>
      </x:c>
      <x:c r="L88" s="11" t="str">
        <x:v>Save is rejected with a clear duplicate message; no second record is created.</x:v>
      </x:c>
      <x:c r="M88" s="11" t="str">
        <x:v>Instructor email is unique.</x:v>
      </x:c>
      <x:c r="N88" s="8" t="str">
        <x:v>Not Run</x:v>
      </x:c>
      <x:c r="O88" s="8" t="str"/>
      <x:c r="P88" s="9" t="str"/>
      <x:c r="Q88" s="11" t="str"/>
      <x:c r="R88" s="11" t="str"/>
      <x:c r="S88" s="8" t="str"/>
      <x:c r="T88" s="11" t="str"/>
    </x:row>
    <x:row r="89" ht="38" customHeight="1">
      <x:c r="A89" s="10" t="str">
        <x:v>TC-ADMIN-004</x:v>
      </x:c>
      <x:c r="B89" s="8" t="str">
        <x:v>261005-Skenario Ujifungsi Admin.docx</x:v>
      </x:c>
      <x:c r="C89" s="8" t="str">
        <x:v>Admin</x:v>
      </x:c>
      <x:c r="D89" s="8" t="str">
        <x:v>Instructor</x:v>
      </x:c>
      <x:c r="E89" s="8" t="str">
        <x:v>Create instructor with blank required field</x:v>
      </x:c>
      <x:c r="F89" s="8" t="str">
        <x:v>Negative</x:v>
      </x:c>
      <x:c r="G89" s="8" t="str">
        <x:v>High</x:v>
      </x:c>
      <x:c r="H89" s="8" t="str">
        <x:v>Admin</x:v>
      </x:c>
      <x:c r="I89" s="11" t="str">
        <x:v>Create form available</x:v>
      </x:c>
      <x:c r="J89" s="11" t="str">
        <x:v>Blank required name/email/etc.</x:v>
      </x:c>
      <x:c r="K89" s="11" t="str">
        <x:v>1. Leave a required field blank.
2. Save.</x:v>
      </x:c>
      <x:c r="L89" s="11" t="str">
        <x:v>Field-level validation appears and no incomplete record is saved.</x:v>
      </x:c>
      <x:c r="M89" s="11" t="str">
        <x:v>Required instructor fields are validated.</x:v>
      </x:c>
      <x:c r="N89" s="8" t="str">
        <x:v>Not Run</x:v>
      </x:c>
      <x:c r="O89" s="8" t="str"/>
      <x:c r="P89" s="9" t="str"/>
      <x:c r="Q89" s="11" t="str"/>
      <x:c r="R89" s="11" t="str"/>
      <x:c r="S89" s="8" t="str"/>
      <x:c r="T89" s="11" t="str"/>
    </x:row>
    <x:row r="90" ht="38" customHeight="1">
      <x:c r="A90" s="10" t="str">
        <x:v>TC-ADMIN-005</x:v>
      </x:c>
      <x:c r="B90" s="8" t="str">
        <x:v>261005-Skenario Ujifungsi Admin.docx</x:v>
      </x:c>
      <x:c r="C90" s="8" t="str">
        <x:v>Admin</x:v>
      </x:c>
      <x:c r="D90" s="8" t="str">
        <x:v>Instructor</x:v>
      </x:c>
      <x:c r="E90" s="8" t="str">
        <x:v>Create instructor with invalid email/phone/photo</x:v>
      </x:c>
      <x:c r="F90" s="8" t="str">
        <x:v>Negative</x:v>
      </x:c>
      <x:c r="G90" s="8" t="str">
        <x:v>Medium</x:v>
      </x:c>
      <x:c r="H90" s="8" t="str">
        <x:v>Admin</x:v>
      </x:c>
      <x:c r="I90" s="11" t="str">
        <x:v>Create form available</x:v>
      </x:c>
      <x:c r="J90" s="11" t="str">
        <x:v>Malformed email, invalid phone, unsupported/oversized photo</x:v>
      </x:c>
      <x:c r="K90" s="11" t="str">
        <x:v>1. Enter invalid data.
2. Save.</x:v>
      </x:c>
      <x:c r="L90" s="11" t="str">
        <x:v>Invalid values are rejected with clear guidance.</x:v>
      </x:c>
      <x:c r="M90" s="11" t="str">
        <x:v>Instructor data formats and upload rules are validated.</x:v>
      </x:c>
      <x:c r="N90" s="8" t="str">
        <x:v>Not Run</x:v>
      </x:c>
      <x:c r="O90" s="8" t="str"/>
      <x:c r="P90" s="9" t="str"/>
      <x:c r="Q90" s="11" t="str"/>
      <x:c r="R90" s="11" t="str"/>
      <x:c r="S90" s="8" t="str"/>
      <x:c r="T90" s="11" t="str"/>
    </x:row>
    <x:row r="91" ht="38" customHeight="1">
      <x:c r="A91" s="10" t="str">
        <x:v>TC-ADMIN-006</x:v>
      </x:c>
      <x:c r="B91" s="8" t="str">
        <x:v>261005-Skenario Ujifungsi Admin.docx</x:v>
      </x:c>
      <x:c r="C91" s="8" t="str">
        <x:v>Admin</x:v>
      </x:c>
      <x:c r="D91" s="8" t="str">
        <x:v>Instructor</x:v>
      </x:c>
      <x:c r="E91" s="8" t="str">
        <x:v>Edit instructor data</x:v>
      </x:c>
      <x:c r="F91" s="8" t="str">
        <x:v>Positive</x:v>
      </x:c>
      <x:c r="G91" s="8" t="str">
        <x:v>High</x:v>
      </x:c>
      <x:c r="H91" s="8" t="str">
        <x:v>Admin</x:v>
      </x:c>
      <x:c r="I91" s="11" t="str">
        <x:v>Instructor record exists</x:v>
      </x:c>
      <x:c r="J91" s="11" t="str">
        <x:v>Change specialization or phone</x:v>
      </x:c>
      <x:c r="K91" s="11" t="str">
        <x:v>1. Select instructor.
2. Edit a field.
3. Save changes.
4. Refresh.</x:v>
      </x:c>
      <x:c r="L91" s="11" t="str">
        <x:v>Updated value persists and appears consistently in detail/list views.</x:v>
      </x:c>
      <x:c r="M91" s="11" t="str">
        <x:v>Admin can update permitted instructor fields.</x:v>
      </x:c>
      <x:c r="N91" s="8" t="str">
        <x:v>Not Run</x:v>
      </x:c>
      <x:c r="O91" s="8" t="str"/>
      <x:c r="P91" s="9" t="str"/>
      <x:c r="Q91" s="11" t="str"/>
      <x:c r="R91" s="11" t="str"/>
      <x:c r="S91" s="8" t="str"/>
      <x:c r="T91" s="11" t="str"/>
    </x:row>
    <x:row r="92" ht="38" customHeight="1">
      <x:c r="A92" s="10" t="str">
        <x:v>TC-ADMIN-007</x:v>
      </x:c>
      <x:c r="B92" s="8" t="str">
        <x:v>261005-Skenario Ujifungsi Admin.docx</x:v>
      </x:c>
      <x:c r="C92" s="8" t="str">
        <x:v>Admin</x:v>
      </x:c>
      <x:c r="D92" s="8" t="str">
        <x:v>Instructor</x:v>
      </x:c>
      <x:c r="E92" s="8" t="str">
        <x:v>Edit protected identity field</x:v>
      </x:c>
      <x:c r="F92" s="8" t="str">
        <x:v>Security</x:v>
      </x:c>
      <x:c r="G92" s="8" t="str">
        <x:v>Medium</x:v>
      </x:c>
      <x:c r="H92" s="8" t="str">
        <x:v>Admin</x:v>
      </x:c>
      <x:c r="I92" s="11" t="str">
        <x:v>Instructor record exists; field protection policy defined</x:v>
      </x:c>
      <x:c r="J92" s="11" t="str">
        <x:v>Attempt to change email/identity field</x:v>
      </x:c>
      <x:c r="K92" s="11" t="str">
        <x:v>1. Open edit.
2. Change protected field.
3. Save.</x:v>
      </x:c>
      <x:c r="L92" s="11" t="str">
        <x:v>Change is blocked or handled through the approved workflow; no duplicate identity is created.</x:v>
      </x:c>
      <x:c r="M92" s="11" t="str">
        <x:v>Protected fields follow identity policy.</x:v>
      </x:c>
      <x:c r="N92" s="8" t="str">
        <x:v>Not Run</x:v>
      </x:c>
      <x:c r="O92" s="8" t="str"/>
      <x:c r="P92" s="9" t="str"/>
      <x:c r="Q92" s="11" t="str"/>
      <x:c r="R92" s="11" t="str"/>
      <x:c r="S92" s="8" t="str"/>
      <x:c r="T92" s="11" t="str"/>
    </x:row>
    <x:row r="93" ht="38" customHeight="1">
      <x:c r="A93" s="10" t="str">
        <x:v>TC-ADMIN-008</x:v>
      </x:c>
      <x:c r="B93" s="8" t="str">
        <x:v>261005-Skenario Ujifungsi Admin.docx</x:v>
      </x:c>
      <x:c r="C93" s="8" t="str">
        <x:v>Admin</x:v>
      </x:c>
      <x:c r="D93" s="8" t="str">
        <x:v>Instructor</x:v>
      </x:c>
      <x:c r="E93" s="8" t="str">
        <x:v>Delete instructor without dependencies</x:v>
      </x:c>
      <x:c r="F93" s="8" t="str">
        <x:v>Positive</x:v>
      </x:c>
      <x:c r="G93" s="8" t="str">
        <x:v>High</x:v>
      </x:c>
      <x:c r="H93" s="8" t="str">
        <x:v>Admin</x:v>
      </x:c>
      <x:c r="I93" s="11" t="str">
        <x:v>Instructor has no dependent records</x:v>
      </x:c>
      <x:c r="J93" s="11" t="str">
        <x:v>Instructor record</x:v>
      </x:c>
      <x:c r="K93" s="11" t="str">
        <x:v>1. Select record.
2. Click Hapus.
3. Confirm.</x:v>
      </x:c>
      <x:c r="L93" s="11" t="str">
        <x:v>Confirmation appears; after confirmation the record is removed or deactivated according to policy.</x:v>
      </x:c>
      <x:c r="M93" s="11" t="str">
        <x:v>Deletion follows the approved retention rule.</x:v>
      </x:c>
      <x:c r="N93" s="8" t="str">
        <x:v>Not Run</x:v>
      </x:c>
      <x:c r="O93" s="8" t="str"/>
      <x:c r="P93" s="9" t="str"/>
      <x:c r="Q93" s="11" t="str"/>
      <x:c r="R93" s="11" t="str"/>
      <x:c r="S93" s="8" t="str"/>
      <x:c r="T93" s="11" t="str"/>
    </x:row>
    <x:row r="94" ht="38" customHeight="1">
      <x:c r="A94" s="10" t="str">
        <x:v>TC-ADMIN-009</x:v>
      </x:c>
      <x:c r="B94" s="8" t="str">
        <x:v>261005-Skenario Ujifungsi Admin.docx</x:v>
      </x:c>
      <x:c r="C94" s="8" t="str">
        <x:v>Admin</x:v>
      </x:c>
      <x:c r="D94" s="8" t="str">
        <x:v>Instructor</x:v>
      </x:c>
      <x:c r="E94" s="8" t="str">
        <x:v>Delete instructor with dependent courses</x:v>
      </x:c>
      <x:c r="F94" s="8" t="str">
        <x:v>Negative</x:v>
      </x:c>
      <x:c r="G94" s="8" t="str">
        <x:v>High</x:v>
      </x:c>
      <x:c r="H94" s="8" t="str">
        <x:v>Admin</x:v>
      </x:c>
      <x:c r="I94" s="11" t="str">
        <x:v>Instructor owns or is linked to a course</x:v>
      </x:c>
      <x:c r="J94" s="11" t="str">
        <x:v>Instructor with dependencies</x:v>
      </x:c>
      <x:c r="K94" s="11" t="str">
        <x:v>1. Attempt delete.
2. Confirm if offered.</x:v>
      </x:c>
      <x:c r="L94" s="11" t="str">
        <x:v>System prevents destructive deletion or clearly applies the approved reassignment/soft-delete flow without orphaning courses.</x:v>
      </x:c>
      <x:c r="M94" s="11" t="str">
        <x:v>Dependencies are protected.</x:v>
      </x:c>
      <x:c r="N94" s="8" t="str">
        <x:v>Not Run</x:v>
      </x:c>
      <x:c r="O94" s="8" t="str"/>
      <x:c r="P94" s="9" t="str"/>
      <x:c r="Q94" s="11" t="str"/>
      <x:c r="R94" s="11" t="str"/>
      <x:c r="S94" s="8" t="str"/>
      <x:c r="T94" s="11" t="str"/>
    </x:row>
    <x:row r="95" ht="38" customHeight="1">
      <x:c r="A95" s="10" t="str">
        <x:v>TC-ADMIN-010</x:v>
      </x:c>
      <x:c r="B95" s="8" t="str">
        <x:v>261005-Skenario Ujifungsi Admin.docx</x:v>
      </x:c>
      <x:c r="C95" s="8" t="str">
        <x:v>Admin</x:v>
      </x:c>
      <x:c r="D95" s="8" t="str">
        <x:v>Instructor</x:v>
      </x:c>
      <x:c r="E95" s="8" t="str">
        <x:v>Cancel delete confirmation</x:v>
      </x:c>
      <x:c r="F95" s="8" t="str">
        <x:v>Boundary</x:v>
      </x:c>
      <x:c r="G95" s="8" t="str">
        <x:v>Medium</x:v>
      </x:c>
      <x:c r="H95" s="8" t="str">
        <x:v>Admin</x:v>
      </x:c>
      <x:c r="I95" s="11" t="str">
        <x:v>Instructor record exists</x:v>
      </x:c>
      <x:c r="J95" s="11" t="str">
        <x:v>Cancel confirmation dialog</x:v>
      </x:c>
      <x:c r="K95" s="11" t="str">
        <x:v>1. Click Hapus.
2. Cancel.</x:v>
      </x:c>
      <x:c r="L95" s="11" t="str">
        <x:v>Record remains unchanged and visible.</x:v>
      </x:c>
      <x:c r="M95" s="11" t="str">
        <x:v>Destructive actions require deliberate confirmation.</x:v>
      </x:c>
      <x:c r="N95" s="8" t="str">
        <x:v>Not Run</x:v>
      </x:c>
      <x:c r="O95" s="8" t="str"/>
      <x:c r="P95" s="9" t="str"/>
      <x:c r="Q95" s="11" t="str"/>
      <x:c r="R95" s="11" t="str"/>
      <x:c r="S95" s="8" t="str"/>
      <x:c r="T95" s="11" t="str"/>
    </x:row>
    <x:row r="96" ht="38" customHeight="1">
      <x:c r="A96" s="10" t="str">
        <x:v>TC-ADMIN-011</x:v>
      </x:c>
      <x:c r="B96" s="8" t="str">
        <x:v>261005-Skenario Ujifungsi Admin.docx</x:v>
      </x:c>
      <x:c r="C96" s="8" t="str">
        <x:v>Admin</x:v>
      </x:c>
      <x:c r="D96" s="8" t="str">
        <x:v>Course monitoring</x:v>
      </x:c>
      <x:c r="E96" s="8" t="str">
        <x:v>List active training courses</x:v>
      </x:c>
      <x:c r="F96" s="8" t="str">
        <x:v>Positive</x:v>
      </x:c>
      <x:c r="G96" s="8" t="str">
        <x:v>High</x:v>
      </x:c>
      <x:c r="H96" s="8" t="str">
        <x:v>Admin</x:v>
      </x:c>
      <x:c r="I96" s="11" t="str">
        <x:v>Published and inactive courses exist</x:v>
      </x:c>
      <x:c r="J96" s="11" t="str">
        <x:v>Course list with mixed statuses</x:v>
      </x:c>
      <x:c r="K96" s="11" t="str">
        <x:v>1. Open course monitoring.
2. Review list.</x:v>
      </x:c>
      <x:c r="L96" s="11" t="str">
        <x:v>List shows the correct records, status, owner, participant counts, and relevant dates according to the design.</x:v>
      </x:c>
      <x:c r="M96" s="11" t="str">
        <x:v>Admin monitoring reflects course state.</x:v>
      </x:c>
      <x:c r="N96" s="8" t="str">
        <x:v>Not Run</x:v>
      </x:c>
      <x:c r="O96" s="8" t="str"/>
      <x:c r="P96" s="9" t="str"/>
      <x:c r="Q96" s="11" t="str"/>
      <x:c r="R96" s="11" t="str"/>
      <x:c r="S96" s="8" t="str"/>
      <x:c r="T96" s="11" t="str"/>
    </x:row>
    <x:row r="97" ht="38" customHeight="1">
      <x:c r="A97" s="10" t="str">
        <x:v>TC-ADMIN-012</x:v>
      </x:c>
      <x:c r="B97" s="8" t="str">
        <x:v>261005-Skenario Ujifungsi Admin.docx</x:v>
      </x:c>
      <x:c r="C97" s="8" t="str">
        <x:v>Admin</x:v>
      </x:c>
      <x:c r="D97" s="8" t="str">
        <x:v>Course monitoring</x:v>
      </x:c>
      <x:c r="E97" s="8" t="str">
        <x:v>Filter/search/sort course list</x:v>
      </x:c>
      <x:c r="F97" s="8" t="str">
        <x:v>Positive</x:v>
      </x:c>
      <x:c r="G97" s="8" t="str">
        <x:v>Medium</x:v>
      </x:c>
      <x:c r="H97" s="8" t="str">
        <x:v>Admin</x:v>
      </x:c>
      <x:c r="I97" s="11" t="str">
        <x:v>Multiple courses exist</x:v>
      </x:c>
      <x:c r="J97" s="11" t="str">
        <x:v>Search term, status filter, sort</x:v>
      </x:c>
      <x:c r="K97" s="11" t="str">
        <x:v>1. Search and filter.
2. Sort results.
3. Clear filters.</x:v>
      </x:c>
      <x:c r="L97" s="11" t="str">
        <x:v>Results, counts, pagination, and clearing behavior are correct.</x:v>
      </x:c>
      <x:c r="M97" s="11" t="str">
        <x:v>Course monitoring controls are reliable.</x:v>
      </x:c>
      <x:c r="N97" s="8" t="str">
        <x:v>Not Run</x:v>
      </x:c>
      <x:c r="O97" s="8" t="str"/>
      <x:c r="P97" s="9" t="str"/>
      <x:c r="Q97" s="11" t="str"/>
      <x:c r="R97" s="11" t="str"/>
      <x:c r="S97" s="8" t="str"/>
      <x:c r="T97" s="11" t="str"/>
    </x:row>
    <x:row r="98" ht="38" customHeight="1">
      <x:c r="A98" s="10" t="str">
        <x:v>TC-ADMIN-013</x:v>
      </x:c>
      <x:c r="B98" s="8" t="str">
        <x:v>261005-Skenario Ujifungsi Admin.docx</x:v>
      </x:c>
      <x:c r="C98" s="8" t="str">
        <x:v>Admin</x:v>
      </x:c>
      <x:c r="D98" s="8" t="str">
        <x:v>Metrics</x:v>
      </x:c>
      <x:c r="E98" s="8" t="str">
        <x:v>Course success metrics are calculated</x:v>
      </x:c>
      <x:c r="F98" s="8" t="str">
        <x:v>Positive</x:v>
      </x:c>
      <x:c r="G98" s="8" t="str">
        <x:v>Critical</x:v>
      </x:c>
      <x:c r="H98" s="8" t="str">
        <x:v>Admin</x:v>
      </x:c>
      <x:c r="I98" s="11" t="str">
        <x:v>Course has known participant outcomes</x:v>
      </x:c>
      <x:c r="J98" s="11" t="str">
        <x:v>Known enrolled, passed, failed counts and date range</x:v>
      </x:c>
      <x:c r="K98" s="11" t="str">
        <x:v>1. Open Statistik &amp; Keberhasilan.
2. Compare displayed totals with known data.</x:v>
      </x:c>
      <x:c r="L98" s="11" t="str">
        <x:v>Metrics use the approved population, period, and formula; totals reconcile with participant records.</x:v>
      </x:c>
      <x:c r="M98" s="11" t="str">
        <x:v>Success metrics have a defined denominator and period.</x:v>
      </x:c>
      <x:c r="N98" s="8" t="str">
        <x:v>Not Run</x:v>
      </x:c>
      <x:c r="O98" s="8" t="str"/>
      <x:c r="P98" s="9" t="str"/>
      <x:c r="Q98" s="11" t="str"/>
      <x:c r="R98" s="11" t="str"/>
      <x:c r="S98" s="8" t="str"/>
      <x:c r="T98" s="11" t="str"/>
    </x:row>
    <x:row r="99" ht="38" customHeight="1">
      <x:c r="A99" s="10" t="str">
        <x:v>TC-ADMIN-014</x:v>
      </x:c>
      <x:c r="B99" s="8" t="str">
        <x:v>261005-Skenario Ujifungsi Admin.docx</x:v>
      </x:c>
      <x:c r="C99" s="8" t="str">
        <x:v>Admin</x:v>
      </x:c>
      <x:c r="D99" s="8" t="str">
        <x:v>Metrics</x:v>
      </x:c>
      <x:c r="E99" s="8" t="str">
        <x:v>Metrics empty state and date filter</x:v>
      </x:c>
      <x:c r="F99" s="8" t="str">
        <x:v>Boundary</x:v>
      </x:c>
      <x:c r="G99" s="8" t="str">
        <x:v>Medium</x:v>
      </x:c>
      <x:c r="H99" s="8" t="str">
        <x:v>Admin</x:v>
      </x:c>
      <x:c r="I99" s="11" t="str">
        <x:v>Course or period has no data</x:v>
      </x:c>
      <x:c r="J99" s="11" t="str">
        <x:v>Empty period; date range</x:v>
      </x:c>
      <x:c r="K99" s="11" t="str">
        <x:v>1. Select an empty range.
2. Inspect metrics and reset filter.</x:v>
      </x:c>
      <x:c r="L99" s="11" t="str">
        <x:v>System shows a clear empty state, not misleading zeros without context, and filters reset correctly.</x:v>
      </x:c>
      <x:c r="M99" s="11" t="str">
        <x:v>Metrics handle no-data periods explicitly.</x:v>
      </x:c>
      <x:c r="N99" s="8" t="str">
        <x:v>Not Run</x:v>
      </x:c>
      <x:c r="O99" s="8" t="str"/>
      <x:c r="P99" s="9" t="str"/>
      <x:c r="Q99" s="11" t="str"/>
      <x:c r="R99" s="11" t="str"/>
      <x:c r="S99" s="8" t="str"/>
      <x:c r="T99" s="11" t="str"/>
    </x:row>
    <x:row r="100" ht="38" customHeight="1">
      <x:c r="A100" s="10" t="str">
        <x:v>TC-ADMIN-015</x:v>
      </x:c>
      <x:c r="B100" s="8" t="str">
        <x:v>261005-Skenario Ujifungsi Admin.docx</x:v>
      </x:c>
      <x:c r="C100" s="8" t="str">
        <x:v>Admin</x:v>
      </x:c>
      <x:c r="D100" s="8" t="str">
        <x:v>Feedback</x:v>
      </x:c>
      <x:c r="E100" s="8" t="str">
        <x:v>View participant feedback</x:v>
      </x:c>
      <x:c r="F100" s="8" t="str">
        <x:v>Positive</x:v>
      </x:c>
      <x:c r="G100" s="8" t="str">
        <x:v>Medium</x:v>
      </x:c>
      <x:c r="H100" s="8" t="str">
        <x:v>Admin</x:v>
      </x:c>
      <x:c r="I100" s="11" t="str">
        <x:v>Feedback records exist</x:v>
      </x:c>
      <x:c r="J100" s="11" t="str">
        <x:v>Feedback with ratings and comments</x:v>
      </x:c>
      <x:c r="K100" s="11" t="str">
        <x:v>1. Open Feedback.
2. Open a record.</x:v>
      </x:c>
      <x:c r="L100" s="11" t="str">
        <x:v>Rating, feedback text, course, participant visibility rule, and date are displayed correctly.</x:v>
      </x:c>
      <x:c r="M100" s="11" t="str">
        <x:v>Admin can review authorized feedback.</x:v>
      </x:c>
      <x:c r="N100" s="8" t="str">
        <x:v>Not Run</x:v>
      </x:c>
      <x:c r="O100" s="8" t="str"/>
      <x:c r="P100" s="9" t="str"/>
      <x:c r="Q100" s="11" t="str"/>
      <x:c r="R100" s="11" t="str"/>
      <x:c r="S100" s="8" t="str"/>
      <x:c r="T100" s="11" t="str"/>
    </x:row>
    <x:row r="101" ht="38" customHeight="1">
      <x:c r="A101" s="10" t="str">
        <x:v>TC-ADMIN-016</x:v>
      </x:c>
      <x:c r="B101" s="8" t="str">
        <x:v>261005-Skenario Ujifungsi Admin.docx</x:v>
      </x:c>
      <x:c r="C101" s="8" t="str">
        <x:v>Admin</x:v>
      </x:c>
      <x:c r="D101" s="8" t="str">
        <x:v>Feedback</x:v>
      </x:c>
      <x:c r="E101" s="8" t="str">
        <x:v>Filter feedback below rating threshold</x:v>
      </x:c>
      <x:c r="F101" s="8" t="str">
        <x:v>Positive</x:v>
      </x:c>
      <x:c r="G101" s="8" t="str">
        <x:v>Medium</x:v>
      </x:c>
      <x:c r="H101" s="8" t="str">
        <x:v>Admin</x:v>
      </x:c>
      <x:c r="I101" s="11" t="str">
        <x:v>Feedback records with mixed ratings</x:v>
      </x:c>
      <x:c r="J101" s="11" t="str">
        <x:v>Filter rating &lt; 3</x:v>
      </x:c>
      <x:c r="K101" s="11" t="str">
        <x:v>1. Apply rating filter.
2. Review results.
3. Clear filter.</x:v>
      </x:c>
      <x:c r="L101" s="11" t="str">
        <x:v>Only matching records appear; counts and clearing behavior are correct.</x:v>
      </x:c>
      <x:c r="M101" s="11" t="str">
        <x:v>Feedback filters use inclusive/exclusive boundaries as defined.</x:v>
      </x:c>
      <x:c r="N101" s="8" t="str">
        <x:v>Not Run</x:v>
      </x:c>
      <x:c r="O101" s="8" t="str"/>
      <x:c r="P101" s="9" t="str"/>
      <x:c r="Q101" s="11" t="str"/>
      <x:c r="R101" s="11" t="str"/>
      <x:c r="S101" s="8" t="str"/>
      <x:c r="T101" s="11" t="str"/>
    </x:row>
    <x:row r="102" ht="38" customHeight="1">
      <x:c r="A102" s="10" t="str">
        <x:v>TC-ADMIN-017</x:v>
      </x:c>
      <x:c r="B102" s="8" t="str">
        <x:v>261005-Skenario Ujifungsi Admin.docx</x:v>
      </x:c>
      <x:c r="C102" s="8" t="str">
        <x:v>Admin</x:v>
      </x:c>
      <x:c r="D102" s="8" t="str">
        <x:v>Users</x:v>
      </x:c>
      <x:c r="E102" s="8" t="str">
        <x:v>Search and filter participants</x:v>
      </x:c>
      <x:c r="F102" s="8" t="str">
        <x:v>Positive</x:v>
      </x:c>
      <x:c r="G102" s="8" t="str">
        <x:v>High</x:v>
      </x:c>
      <x:c r="H102" s="8" t="str">
        <x:v>Admin</x:v>
      </x:c>
      <x:c r="I102" s="11" t="str">
        <x:v>Multiple participant records exist</x:v>
      </x:c>
      <x:c r="J102" s="11" t="str">
        <x:v>Name/email search and status filter</x:v>
      </x:c>
      <x:c r="K102" s="11" t="str">
        <x:v>1. Open participant list.
2. Search by name/email.
3. Apply filter.</x:v>
      </x:c>
      <x:c r="L102" s="11" t="str">
        <x:v>Results match the search/filter criteria, pagination is correct, and no unauthorized fields are exposed.</x:v>
      </x:c>
      <x:c r="M102" s="11" t="str">
        <x:v>Participant search and filtering work correctly.</x:v>
      </x:c>
      <x:c r="N102" s="8" t="str">
        <x:v>Not Run</x:v>
      </x:c>
      <x:c r="O102" s="8" t="str"/>
      <x:c r="P102" s="9" t="str"/>
      <x:c r="Q102" s="11" t="str"/>
      <x:c r="R102" s="11" t="str"/>
      <x:c r="S102" s="8" t="str"/>
      <x:c r="T102" s="11" t="str"/>
    </x:row>
    <x:row r="103" ht="38" customHeight="1">
      <x:c r="A103" s="10" t="str">
        <x:v>TC-ADMIN-018</x:v>
      </x:c>
      <x:c r="B103" s="8" t="str">
        <x:v>261005-Skenario Ujifungsi Admin.docx</x:v>
      </x:c>
      <x:c r="C103" s="8" t="str">
        <x:v>Admin</x:v>
      </x:c>
      <x:c r="D103" s="8" t="str">
        <x:v>Certificates</x:v>
      </x:c>
      <x:c r="E103" s="8" t="str">
        <x:v>Certificate list preview/download</x:v>
      </x:c>
      <x:c r="F103" s="8" t="str">
        <x:v>Positive</x:v>
      </x:c>
      <x:c r="G103" s="8" t="str">
        <x:v>High</x:v>
      </x:c>
      <x:c r="H103" s="8" t="str">
        <x:v>Admin</x:v>
      </x:c>
      <x:c r="I103" s="11" t="str">
        <x:v>Issued certificates exist</x:v>
      </x:c>
      <x:c r="J103" s="11" t="str">
        <x:v>Certificate record</x:v>
      </x:c>
      <x:c r="K103" s="11" t="str">
        <x:v>1. Open certificate list.
2. Select a record.
3. Preview and download.</x:v>
      </x:c>
      <x:c r="L103" s="11" t="str">
        <x:v>Selected certificate opens/downloads with matching participant, course, date, and number.</x:v>
      </x:c>
      <x:c r="M103" s="11" t="str">
        <x:v>Admin can monitor certificates accurately.</x:v>
      </x:c>
      <x:c r="N103" s="8" t="str">
        <x:v>Not Run</x:v>
      </x:c>
      <x:c r="O103" s="8" t="str"/>
      <x:c r="P103" s="9" t="str"/>
      <x:c r="Q103" s="11" t="str"/>
      <x:c r="R103" s="11" t="str"/>
      <x:c r="S103" s="8" t="str"/>
      <x:c r="T103" s="11" t="str"/>
    </x:row>
    <x:row r="104" ht="38" customHeight="1">
      <x:c r="A104" s="10" t="str">
        <x:v>TC-TRAINER-001</x:v>
      </x:c>
      <x:c r="B104" s="8" t="str">
        <x:v>261005-Skenario Ujifungsi Pemateri.docx</x:v>
      </x:c>
      <x:c r="C104" s="8" t="str">
        <x:v>Instructor</x:v>
      </x:c>
      <x:c r="D104" s="8" t="str">
        <x:v>Profile</x:v>
      </x:c>
      <x:c r="E104" s="8" t="str">
        <x:v>Complete profile with valid data</x:v>
      </x:c>
      <x:c r="F104" s="8" t="str">
        <x:v>Positive</x:v>
      </x:c>
      <x:c r="G104" s="8" t="str">
        <x:v>High</x:v>
      </x:c>
      <x:c r="H104" s="8" t="str">
        <x:v>Pemateri</x:v>
      </x:c>
      <x:c r="I104" s="11" t="str">
        <x:v>Pemateri account is active</x:v>
      </x:c>
      <x:c r="J104" s="11" t="str">
        <x:v>Name, bio, expertise, valid photo</x:v>
      </x:c>
      <x:c r="K104" s="11" t="str">
        <x:v>1. Open Profil Pemateri.
2. Fill valid fields.
3. Save.
4. Refresh.</x:v>
      </x:c>
      <x:c r="L104" s="11" t="str">
        <x:v>Profile saves successfully and values persist after refresh.</x:v>
      </x:c>
      <x:c r="M104" s="11" t="str">
        <x:v>Instructor can maintain a valid profile.</x:v>
      </x:c>
      <x:c r="N104" s="8" t="str">
        <x:v>Not Run</x:v>
      </x:c>
      <x:c r="O104" s="8" t="str"/>
      <x:c r="P104" s="9" t="str"/>
      <x:c r="Q104" s="11" t="str"/>
      <x:c r="R104" s="11" t="str"/>
      <x:c r="S104" s="8" t="str"/>
      <x:c r="T104" s="11" t="str"/>
    </x:row>
    <x:row r="105" ht="38" customHeight="1">
      <x:c r="A105" s="10" t="str">
        <x:v>TC-TRAINER-002</x:v>
      </x:c>
      <x:c r="B105" s="8" t="str">
        <x:v>261005-Skenario Ujifungsi Pemateri.docx</x:v>
      </x:c>
      <x:c r="C105" s="8" t="str">
        <x:v>Instructor</x:v>
      </x:c>
      <x:c r="D105" s="8" t="str">
        <x:v>Profile</x:v>
      </x:c>
      <x:c r="E105" s="8" t="str">
        <x:v>Profile required field empty</x:v>
      </x:c>
      <x:c r="F105" s="8" t="str">
        <x:v>Negative</x:v>
      </x:c>
      <x:c r="G105" s="8" t="str">
        <x:v>High</x:v>
      </x:c>
      <x:c r="H105" s="8" t="str">
        <x:v>Pemateri</x:v>
      </x:c>
      <x:c r="I105" s="11" t="str">
        <x:v>Profile form available</x:v>
      </x:c>
      <x:c r="J105" s="11" t="str">
        <x:v>Blank required name/email field</x:v>
      </x:c>
      <x:c r="K105" s="11" t="str">
        <x:v>1. Clear a required field.
2. Save.</x:v>
      </x:c>
      <x:c r="L105" s="11" t="str">
        <x:v>Save is blocked with field-level validation.</x:v>
      </x:c>
      <x:c r="M105" s="11" t="str">
        <x:v>Required profile fields are enforced.</x:v>
      </x:c>
      <x:c r="N105" s="8" t="str">
        <x:v>Not Run</x:v>
      </x:c>
      <x:c r="O105" s="8" t="str"/>
      <x:c r="P105" s="9" t="str"/>
      <x:c r="Q105" s="11" t="str"/>
      <x:c r="R105" s="11" t="str"/>
      <x:c r="S105" s="8" t="str"/>
      <x:c r="T105" s="11" t="str"/>
    </x:row>
    <x:row r="106" ht="38" customHeight="1">
      <x:c r="A106" s="10" t="str">
        <x:v>TC-TRAINER-003</x:v>
      </x:c>
      <x:c r="B106" s="8" t="str">
        <x:v>261005-Skenario Ujifungsi Pemateri.docx</x:v>
      </x:c>
      <x:c r="C106" s="8" t="str">
        <x:v>Instructor</x:v>
      </x:c>
      <x:c r="D106" s="8" t="str">
        <x:v>Profile</x:v>
      </x:c>
      <x:c r="E106" s="8" t="str">
        <x:v>Invalid email, photo format, or photo size</x:v>
      </x:c>
      <x:c r="F106" s="8" t="str">
        <x:v>Negative</x:v>
      </x:c>
      <x:c r="G106" s="8" t="str">
        <x:v>Medium</x:v>
      </x:c>
      <x:c r="H106" s="8" t="str">
        <x:v>Pemateri</x:v>
      </x:c>
      <x:c r="I106" s="11" t="str">
        <x:v>Profile form available</x:v>
      </x:c>
      <x:c r="J106" s="11" t="str">
        <x:v>Malformed email; unsupported/oversized photo</x:v>
      </x:c>
      <x:c r="K106" s="11" t="str">
        <x:v>1. Enter invalid values.
2. Save.</x:v>
      </x:c>
      <x:c r="L106" s="11" t="str">
        <x:v>Invalid data is rejected with clear guidance and no partial update is committed.</x:v>
      </x:c>
      <x:c r="M106" s="11" t="str">
        <x:v>Profile format and upload rules are validated.</x:v>
      </x:c>
      <x:c r="N106" s="8" t="str">
        <x:v>Not Run</x:v>
      </x:c>
      <x:c r="O106" s="8" t="str"/>
      <x:c r="P106" s="9" t="str"/>
      <x:c r="Q106" s="11" t="str"/>
      <x:c r="R106" s="11" t="str"/>
      <x:c r="S106" s="8" t="str"/>
      <x:c r="T106" s="11" t="str"/>
    </x:row>
    <x:row r="107" ht="38" customHeight="1">
      <x:c r="A107" s="10" t="str">
        <x:v>TC-TRAINER-004</x:v>
      </x:c>
      <x:c r="B107" s="8" t="str">
        <x:v>261005-Skenario Ujifungsi Pemateri.docx</x:v>
      </x:c>
      <x:c r="C107" s="8" t="str">
        <x:v>Instructor</x:v>
      </x:c>
      <x:c r="D107" s="8" t="str">
        <x:v>Course</x:v>
      </x:c>
      <x:c r="E107" s="8" t="str">
        <x:v>Create course with valid data</x:v>
      </x:c>
      <x:c r="F107" s="8" t="str">
        <x:v>Positive</x:v>
      </x:c>
      <x:c r="G107" s="8" t="str">
        <x:v>Critical</x:v>
      </x:c>
      <x:c r="H107" s="8" t="str">
        <x:v>Pemateri</x:v>
      </x:c>
      <x:c r="I107" s="11" t="str">
        <x:v>Pemateri is authorized to create courses</x:v>
      </x:c>
      <x:c r="J107" s="11" t="str">
        <x:v>Title, description, category, thumbnail/banner, publication status</x:v>
      </x:c>
      <x:c r="K107" s="11" t="str">
        <x:v>1. Open course create.
2. Fill valid data.
3. Save.</x:v>
      </x:c>
      <x:c r="L107" s="11" t="str">
        <x:v>Course is saved once with the correct owner, category, media, and publication status.</x:v>
      </x:c>
      <x:c r="M107" s="11" t="str">
        <x:v>Instructor can create valid courses.</x:v>
      </x:c>
      <x:c r="N107" s="8" t="str">
        <x:v>Not Run</x:v>
      </x:c>
      <x:c r="O107" s="8" t="str"/>
      <x:c r="P107" s="9" t="str"/>
      <x:c r="Q107" s="11" t="str"/>
      <x:c r="R107" s="11" t="str"/>
      <x:c r="S107" s="8" t="str"/>
      <x:c r="T107" s="11" t="str"/>
    </x:row>
    <x:row r="108" ht="38" customHeight="1">
      <x:c r="A108" s="10" t="str">
        <x:v>TC-TRAINER-005</x:v>
      </x:c>
      <x:c r="B108" s="8" t="str">
        <x:v>261005-Skenario Ujifungsi Pemateri.docx</x:v>
      </x:c>
      <x:c r="C108" s="8" t="str">
        <x:v>Instructor</x:v>
      </x:c>
      <x:c r="D108" s="8" t="str">
        <x:v>Course</x:v>
      </x:c>
      <x:c r="E108" s="8" t="str">
        <x:v>Create course with required title/category empty</x:v>
      </x:c>
      <x:c r="F108" s="8" t="str">
        <x:v>Negative</x:v>
      </x:c>
      <x:c r="G108" s="8" t="str">
        <x:v>High</x:v>
      </x:c>
      <x:c r="H108" s="8" t="str">
        <x:v>Pemateri</x:v>
      </x:c>
      <x:c r="I108" s="11" t="str">
        <x:v>Course form available</x:v>
      </x:c>
      <x:c r="J108" s="11" t="str">
        <x:v>Blank title and/or category</x:v>
      </x:c>
      <x:c r="K108" s="11" t="str">
        <x:v>1. Leave required fields blank.
2. Save.</x:v>
      </x:c>
      <x:c r="L108" s="11" t="str">
        <x:v>Save is blocked with clear field-level validation.</x:v>
      </x:c>
      <x:c r="M108" s="11" t="str">
        <x:v>Required course fields are enforced.</x:v>
      </x:c>
      <x:c r="N108" s="8" t="str">
        <x:v>Not Run</x:v>
      </x:c>
      <x:c r="O108" s="8" t="str"/>
      <x:c r="P108" s="9" t="str"/>
      <x:c r="Q108" s="11" t="str"/>
      <x:c r="R108" s="11" t="str"/>
      <x:c r="S108" s="8" t="str"/>
      <x:c r="T108" s="11" t="str"/>
    </x:row>
    <x:row r="109" ht="38" customHeight="1">
      <x:c r="A109" s="10" t="str">
        <x:v>TC-TRAINER-006</x:v>
      </x:c>
      <x:c r="B109" s="8" t="str">
        <x:v>261005-Skenario Ujifungsi Pemateri.docx</x:v>
      </x:c>
      <x:c r="C109" s="8" t="str">
        <x:v>Instructor</x:v>
      </x:c>
      <x:c r="D109" s="8" t="str">
        <x:v>Course</x:v>
      </x:c>
      <x:c r="E109" s="8" t="str">
        <x:v>Course title/description length limits</x:v>
      </x:c>
      <x:c r="F109" s="8" t="str">
        <x:v>Boundary</x:v>
      </x:c>
      <x:c r="G109" s="8" t="str">
        <x:v>Medium</x:v>
      </x:c>
      <x:c r="H109" s="8" t="str">
        <x:v>Pemateri</x:v>
      </x:c>
      <x:c r="I109" s="11" t="str">
        <x:v>Course form available</x:v>
      </x:c>
      <x:c r="J109" s="11" t="str">
        <x:v>Minimum, maximum, and over-limit text</x:v>
      </x:c>
      <x:c r="K109" s="11" t="str">
        <x:v>1. Enter boundary text.
2. Save.</x:v>
      </x:c>
      <x:c r="L109" s="11" t="str">
        <x:v>Allowed lengths save successfully; over-limit content is rejected or constrained with clear feedback.</x:v>
      </x:c>
      <x:c r="M109" s="11" t="str">
        <x:v>Text limits are explicit.</x:v>
      </x:c>
      <x:c r="N109" s="8" t="str">
        <x:v>Not Run</x:v>
      </x:c>
      <x:c r="O109" s="8" t="str"/>
      <x:c r="P109" s="9" t="str"/>
      <x:c r="Q109" s="11" t="str"/>
      <x:c r="R109" s="11" t="str"/>
      <x:c r="S109" s="8" t="str"/>
      <x:c r="T109" s="11" t="str"/>
    </x:row>
    <x:row r="110" ht="38" customHeight="1">
      <x:c r="A110" s="10" t="str">
        <x:v>TC-TRAINER-007</x:v>
      </x:c>
      <x:c r="B110" s="8" t="str">
        <x:v>261005-Skenario Ujifungsi Pemateri.docx</x:v>
      </x:c>
      <x:c r="C110" s="8" t="str">
        <x:v>Instructor</x:v>
      </x:c>
      <x:c r="D110" s="8" t="str">
        <x:v>Course</x:v>
      </x:c>
      <x:c r="E110" s="8" t="str">
        <x:v>Invalid thumbnail/banner format or size</x:v>
      </x:c>
      <x:c r="F110" s="8" t="str">
        <x:v>Negative</x:v>
      </x:c>
      <x:c r="G110" s="8" t="str">
        <x:v>Medium</x:v>
      </x:c>
      <x:c r="H110" s="8" t="str">
        <x:v>Pemateri</x:v>
      </x:c>
      <x:c r="I110" s="11" t="str">
        <x:v>Course form available</x:v>
      </x:c>
      <x:c r="J110" s="11" t="str">
        <x:v>Unsupported/oversized image</x:v>
      </x:c>
      <x:c r="K110" s="11" t="str">
        <x:v>1. Upload invalid media.
2. Save.</x:v>
      </x:c>
      <x:c r="L110" s="11" t="str">
        <x:v>Media is rejected with a clear format/size message.</x:v>
      </x:c>
      <x:c r="M110" s="11" t="str">
        <x:v>Course media validation is enforced.</x:v>
      </x:c>
      <x:c r="N110" s="8" t="str">
        <x:v>Not Run</x:v>
      </x:c>
      <x:c r="O110" s="8" t="str"/>
      <x:c r="P110" s="9" t="str"/>
      <x:c r="Q110" s="11" t="str"/>
      <x:c r="R110" s="11" t="str"/>
      <x:c r="S110" s="8" t="str"/>
      <x:c r="T110" s="11" t="str"/>
    </x:row>
    <x:row r="111" ht="38" customHeight="1">
      <x:c r="A111" s="10" t="str">
        <x:v>TC-TRAINER-008</x:v>
      </x:c>
      <x:c r="B111" s="8" t="str">
        <x:v>261005-Skenario Ujifungsi Pemateri.docx</x:v>
      </x:c>
      <x:c r="C111" s="8" t="str">
        <x:v>Instructor</x:v>
      </x:c>
      <x:c r="D111" s="8" t="str">
        <x:v>Course</x:v>
      </x:c>
      <x:c r="E111" s="8" t="str">
        <x:v>Edit course and preserve linked activities</x:v>
      </x:c>
      <x:c r="F111" s="8" t="str">
        <x:v>Positive</x:v>
      </x:c>
      <x:c r="G111" s="8" t="str">
        <x:v>High</x:v>
      </x:c>
      <x:c r="H111" s="8" t="str">
        <x:v>Pemateri</x:v>
      </x:c>
      <x:c r="I111" s="11" t="str">
        <x:v>Course with activities exists</x:v>
      </x:c>
      <x:c r="J111" s="11" t="str">
        <x:v>Change title/description/category</x:v>
      </x:c>
      <x:c r="K111" s="11" t="str">
        <x:v>1. Edit course.
2. Save.
3. Open linked activities.</x:v>
      </x:c>
      <x:c r="L111" s="11" t="str">
        <x:v>Course changes persist and linked activity ownership/content remains intact.</x:v>
      </x:c>
      <x:c r="M111" s="11" t="str">
        <x:v>Course edits do not orphan activities.</x:v>
      </x:c>
      <x:c r="N111" s="8" t="str">
        <x:v>Not Run</x:v>
      </x:c>
      <x:c r="O111" s="8" t="str"/>
      <x:c r="P111" s="9" t="str"/>
      <x:c r="Q111" s="11" t="str"/>
      <x:c r="R111" s="11" t="str"/>
      <x:c r="S111" s="8" t="str"/>
      <x:c r="T111" s="11" t="str"/>
    </x:row>
    <x:row r="112" ht="38" customHeight="1">
      <x:c r="A112" s="10" t="str">
        <x:v>TC-TRAINER-009</x:v>
      </x:c>
      <x:c r="B112" s="8" t="str">
        <x:v>261005-Skenario Ujifungsi Pemateri.docx</x:v>
      </x:c>
      <x:c r="C112" s="8" t="str">
        <x:v>Instructor</x:v>
      </x:c>
      <x:c r="D112" s="8" t="str">
        <x:v>Course</x:v>
      </x:c>
      <x:c r="E112" s="8" t="str">
        <x:v>Publish and unpublish course</x:v>
      </x:c>
      <x:c r="F112" s="8" t="str">
        <x:v>Positive</x:v>
      </x:c>
      <x:c r="G112" s="8" t="str">
        <x:v>Critical</x:v>
      </x:c>
      <x:c r="H112" s="8" t="str">
        <x:v>Pemateri</x:v>
      </x:c>
      <x:c r="I112" s="11" t="str">
        <x:v>Course draft exists</x:v>
      </x:c>
      <x:c r="J112" s="11" t="str">
        <x:v>Draft course; learner account</x:v>
      </x:c>
      <x:c r="K112" s="11" t="str">
        <x:v>1. Publish course.
2. Verify learner visibility.
3. Unpublish.
4. Verify access.</x:v>
      </x:c>
      <x:c r="L112" s="11" t="str">
        <x:v>Publication state changes are visible to learners according to policy, and existing enrollments are handled consistently.</x:v>
      </x:c>
      <x:c r="M112" s="11" t="str">
        <x:v>Publication lifecycle is defined.</x:v>
      </x:c>
      <x:c r="N112" s="8" t="str">
        <x:v>Not Run</x:v>
      </x:c>
      <x:c r="O112" s="8" t="str"/>
      <x:c r="P112" s="9" t="str"/>
      <x:c r="Q112" s="11" t="str"/>
      <x:c r="R112" s="11" t="str"/>
      <x:c r="S112" s="8" t="str"/>
      <x:c r="T112" s="11" t="str"/>
    </x:row>
    <x:row r="113" ht="38" customHeight="1">
      <x:c r="A113" s="10" t="str">
        <x:v>TC-TRAINER-010</x:v>
      </x:c>
      <x:c r="B113" s="8" t="str">
        <x:v>261005-Skenario Ujifungsi Pemateri.docx</x:v>
      </x:c>
      <x:c r="C113" s="8" t="str">
        <x:v>Instructor</x:v>
      </x:c>
      <x:c r="D113" s="8" t="str">
        <x:v>Course</x:v>
      </x:c>
      <x:c r="E113" s="8" t="str">
        <x:v>Delete course with enrolled participants</x:v>
      </x:c>
      <x:c r="F113" s="8" t="str">
        <x:v>Negative</x:v>
      </x:c>
      <x:c r="G113" s="8" t="str">
        <x:v>Critical</x:v>
      </x:c>
      <x:c r="H113" s="8" t="str">
        <x:v>Pemateri</x:v>
      </x:c>
      <x:c r="I113" s="11" t="str">
        <x:v>Course has enrollment/progress</x:v>
      </x:c>
      <x:c r="J113" s="11" t="str">
        <x:v>Course with dependencies</x:v>
      </x:c>
      <x:c r="K113" s="11" t="str">
        <x:v>1. Attempt to delete.
2. Confirm if offered.</x:v>
      </x:c>
      <x:c r="L113" s="11" t="str">
        <x:v>System blocks deletion or applies an approved archive/reassignment flow without losing participant records.</x:v>
      </x:c>
      <x:c r="M113" s="11" t="str">
        <x:v>Destructive course actions protect participant data.</x:v>
      </x:c>
      <x:c r="N113" s="8" t="str">
        <x:v>Not Run</x:v>
      </x:c>
      <x:c r="O113" s="8" t="str"/>
      <x:c r="P113" s="9" t="str"/>
      <x:c r="Q113" s="11" t="str"/>
      <x:c r="R113" s="11" t="str"/>
      <x:c r="S113" s="8" t="str"/>
      <x:c r="T113" s="11" t="str"/>
    </x:row>
    <x:row r="114" ht="38" customHeight="1">
      <x:c r="A114" s="10" t="str">
        <x:v>TC-TRAINER-011</x:v>
      </x:c>
      <x:c r="B114" s="8" t="str">
        <x:v>261005-Skenario Ujifungsi Pemateri.docx</x:v>
      </x:c>
      <x:c r="C114" s="8" t="str">
        <x:v>Instructor</x:v>
      </x:c>
      <x:c r="D114" s="8" t="str">
        <x:v>Course</x:v>
      </x:c>
      <x:c r="E114" s="8" t="str">
        <x:v>Instructor cannot edit another instructor's course</x:v>
      </x:c>
      <x:c r="F114" s="8" t="str">
        <x:v>Security</x:v>
      </x:c>
      <x:c r="G114" s="8" t="str">
        <x:v>Critical</x:v>
      </x:c>
      <x:c r="H114" s="8" t="str">
        <x:v>Pemateri</x:v>
      </x:c>
      <x:c r="I114" s="11" t="str">
        <x:v>Two instructor accounts and separate courses</x:v>
      </x:c>
      <x:c r="J114" s="11" t="str">
        <x:v>Course owned by another instructor</x:v>
      </x:c>
      <x:c r="K114" s="11" t="str">
        <x:v>1. Login as instructor B.
2. Open/edit course owned by A.</x:v>
      </x:c>
      <x:c r="L114" s="11" t="str">
        <x:v>Access is denied; no unauthorized changes are possible through UI or direct request.</x:v>
      </x:c>
      <x:c r="M114" s="11" t="str">
        <x:v>Instructor ownership authorization is enforced.</x:v>
      </x:c>
      <x:c r="N114" s="8" t="str">
        <x:v>Not Run</x:v>
      </x:c>
      <x:c r="O114" s="8" t="str"/>
      <x:c r="P114" s="9" t="str"/>
      <x:c r="Q114" s="11" t="str"/>
      <x:c r="R114" s="11" t="str"/>
      <x:c r="S114" s="8" t="str"/>
      <x:c r="T114" s="11" t="str"/>
    </x:row>
    <x:row r="115" ht="38" customHeight="1">
      <x:c r="A115" s="10" t="str">
        <x:v>TC-TRAINER-012</x:v>
      </x:c>
      <x:c r="B115" s="8" t="str">
        <x:v>261005-Skenario Ujifungsi Pemateri.docx</x:v>
      </x:c>
      <x:c r="C115" s="8" t="str">
        <x:v>Instructor</x:v>
      </x:c>
      <x:c r="D115" s="8" t="str">
        <x:v>Quiz</x:v>
      </x:c>
      <x:c r="E115" s="8" t="str">
        <x:v>Create Pre-Test/Post-Test with valid questions</x:v>
      </x:c>
      <x:c r="F115" s="8" t="str">
        <x:v>Positive</x:v>
      </x:c>
      <x:c r="G115" s="8" t="str">
        <x:v>Critical</x:v>
      </x:c>
      <x:c r="H115" s="8" t="str">
        <x:v>Pemateri</x:v>
      </x:c>
      <x:c r="I115" s="11" t="str">
        <x:v>Course exists</x:v>
      </x:c>
      <x:c r="J115" s="11" t="str">
        <x:v>Title, description, duration, multiple-choice questions, answer keys</x:v>
      </x:c>
      <x:c r="K115" s="11" t="str">
        <x:v>1. Create quiz.
2. Add questions and keys.
3. Save.
4. Preview.</x:v>
      </x:c>
      <x:c r="L115" s="11" t="str">
        <x:v>Quiz is saved with correct questions, options, answer keys, duration, and preview behavior.</x:v>
      </x:c>
      <x:c r="M115" s="11" t="str">
        <x:v>Instructor can create valid tests.</x:v>
      </x:c>
      <x:c r="N115" s="8" t="str">
        <x:v>Not Run</x:v>
      </x:c>
      <x:c r="O115" s="8" t="str"/>
      <x:c r="P115" s="9" t="str"/>
      <x:c r="Q115" s="11" t="str"/>
      <x:c r="R115" s="11" t="str"/>
      <x:c r="S115" s="8" t="str"/>
      <x:c r="T115" s="11" t="str"/>
    </x:row>
    <x:row r="116" ht="38" customHeight="1">
      <x:c r="A116" s="10" t="str">
        <x:v>TC-TRAINER-013</x:v>
      </x:c>
      <x:c r="B116" s="8" t="str">
        <x:v>261005-Skenario Ujifungsi Pemateri.docx</x:v>
      </x:c>
      <x:c r="C116" s="8" t="str">
        <x:v>Instructor</x:v>
      </x:c>
      <x:c r="D116" s="8" t="str">
        <x:v>Quiz</x:v>
      </x:c>
      <x:c r="E116" s="8" t="str">
        <x:v>Save quiz without answer key or duration</x:v>
      </x:c>
      <x:c r="F116" s="8" t="str">
        <x:v>Negative</x:v>
      </x:c>
      <x:c r="G116" s="8" t="str">
        <x:v>High</x:v>
      </x:c>
      <x:c r="H116" s="8" t="str">
        <x:v>Pemateri</x:v>
      </x:c>
      <x:c r="I116" s="11" t="str">
        <x:v>Quiz form available</x:v>
      </x:c>
      <x:c r="J116" s="11" t="str">
        <x:v>Missing duration and/or answer key</x:v>
      </x:c>
      <x:c r="K116" s="11" t="str">
        <x:v>1. Add incomplete question data.
2. Save.</x:v>
      </x:c>
      <x:c r="L116" s="11" t="str">
        <x:v>Save is blocked with clear validation and no unusable quiz is published.</x:v>
      </x:c>
      <x:c r="M116" s="11" t="str">
        <x:v>Quiz requires complete scoring configuration.</x:v>
      </x:c>
      <x:c r="N116" s="8" t="str">
        <x:v>Not Run</x:v>
      </x:c>
      <x:c r="O116" s="8" t="str"/>
      <x:c r="P116" s="9" t="str"/>
      <x:c r="Q116" s="11" t="str"/>
      <x:c r="R116" s="11" t="str"/>
      <x:c r="S116" s="8" t="str"/>
      <x:c r="T116" s="11" t="str"/>
    </x:row>
    <x:row r="117" ht="38" customHeight="1">
      <x:c r="A117" s="10" t="str">
        <x:v>TC-TRAINER-014</x:v>
      </x:c>
      <x:c r="B117" s="8" t="str">
        <x:v>261005-Skenario Ujifungsi Pemateri.docx</x:v>
      </x:c>
      <x:c r="C117" s="8" t="str">
        <x:v>Instructor</x:v>
      </x:c>
      <x:c r="D117" s="8" t="str">
        <x:v>Quiz</x:v>
      </x:c>
      <x:c r="E117" s="8" t="str">
        <x:v>Quiz question options and score boundaries</x:v>
      </x:c>
      <x:c r="F117" s="8" t="str">
        <x:v>Boundary</x:v>
      </x:c>
      <x:c r="G117" s="8" t="str">
        <x:v>High</x:v>
      </x:c>
      <x:c r="H117" s="8" t="str">
        <x:v>Pemateri</x:v>
      </x:c>
      <x:c r="I117" s="11" t="str">
        <x:v>Quiz form available</x:v>
      </x:c>
      <x:c r="J117" s="11" t="str">
        <x:v>Too few options; duplicate options; invalid score/duration</x:v>
      </x:c>
      <x:c r="K117" s="11" t="str">
        <x:v>1. Enter invalid question configurations.
2. Save.</x:v>
      </x:c>
      <x:c r="L117" s="11" t="str">
        <x:v>Invalid configurations are rejected and valid boundary values follow the defined limits.</x:v>
      </x:c>
      <x:c r="M117" s="11" t="str">
        <x:v>Quiz content constraints are validated.</x:v>
      </x:c>
      <x:c r="N117" s="8" t="str">
        <x:v>Not Run</x:v>
      </x:c>
      <x:c r="O117" s="8" t="str"/>
      <x:c r="P117" s="9" t="str"/>
      <x:c r="Q117" s="11" t="str"/>
      <x:c r="R117" s="11" t="str"/>
      <x:c r="S117" s="8" t="str"/>
      <x:c r="T117" s="11" t="str"/>
    </x:row>
    <x:row r="118" ht="38" customHeight="1">
      <x:c r="A118" s="10" t="str">
        <x:v>TC-TRAINER-015</x:v>
      </x:c>
      <x:c r="B118" s="8" t="str">
        <x:v>261005-Skenario Ujifungsi Pemateri.docx</x:v>
      </x:c>
      <x:c r="C118" s="8" t="str">
        <x:v>Instructor</x:v>
      </x:c>
      <x:c r="D118" s="8" t="str">
        <x:v>Literature</x:v>
      </x:c>
      <x:c r="E118" s="8" t="str">
        <x:v>Upload valid PDF literature</x:v>
      </x:c>
      <x:c r="F118" s="8" t="str">
        <x:v>Positive</x:v>
      </x:c>
      <x:c r="G118" s="8" t="str">
        <x:v>High</x:v>
      </x:c>
      <x:c r="H118" s="8" t="str">
        <x:v>Pemateri</x:v>
      </x:c>
      <x:c r="I118" s="11" t="str">
        <x:v>Course exists</x:v>
      </x:c>
      <x:c r="J118" s="11" t="str">
        <x:v>Valid PDF within configured capacity</x:v>
      </x:c>
      <x:c r="K118" s="11" t="str">
        <x:v>1. Add Literature activity.
2. Enter title.
3. Upload PDF.
4. Save.</x:v>
      </x:c>
      <x:c r="L118" s="11" t="str">
        <x:v>Literature activity is saved and accessible in the course preview.</x:v>
      </x:c>
      <x:c r="M118" s="11" t="str">
        <x:v>Valid PDF literature is accepted.</x:v>
      </x:c>
      <x:c r="N118" s="8" t="str">
        <x:v>Not Run</x:v>
      </x:c>
      <x:c r="O118" s="8" t="str"/>
      <x:c r="P118" s="9" t="str"/>
      <x:c r="Q118" s="11" t="str"/>
      <x:c r="R118" s="11" t="str"/>
      <x:c r="S118" s="8" t="str"/>
      <x:c r="T118" s="11" t="str"/>
    </x:row>
    <x:row r="119" ht="38" customHeight="1">
      <x:c r="A119" s="10" t="str">
        <x:v>TC-TRAINER-016</x:v>
      </x:c>
      <x:c r="B119" s="8" t="str">
        <x:v>261005-Skenario Ujifungsi Pemateri.docx</x:v>
      </x:c>
      <x:c r="C119" s="8" t="str">
        <x:v>Instructor</x:v>
      </x:c>
      <x:c r="D119" s="8" t="str">
        <x:v>Literature</x:v>
      </x:c>
      <x:c r="E119" s="8" t="str">
        <x:v>Upload unsupported, corrupt, or oversized literature</x:v>
      </x:c>
      <x:c r="F119" s="8" t="str">
        <x:v>Negative</x:v>
      </x:c>
      <x:c r="G119" s="8" t="str">
        <x:v>High</x:v>
      </x:c>
      <x:c r="H119" s="8" t="str">
        <x:v>Pemateri</x:v>
      </x:c>
      <x:c r="I119" s="11" t="str">
        <x:v>Course exists</x:v>
      </x:c>
      <x:c r="J119" s="11" t="str">
        <x:v>EXE/MP4/DOCX; corrupt PDF; oversized PDF</x:v>
      </x:c>
      <x:c r="K119" s="11" t="str">
        <x:v>1. Select invalid file.
2. Save.</x:v>
      </x:c>
      <x:c r="L119" s="11" t="str">
        <x:v>System rejects invalid content with a clear message and no broken activity is created.</x:v>
      </x:c>
      <x:c r="M119" s="11" t="str">
        <x:v>Literature file type, content, and size are validated.</x:v>
      </x:c>
      <x:c r="N119" s="8" t="str">
        <x:v>Not Run</x:v>
      </x:c>
      <x:c r="O119" s="8" t="str"/>
      <x:c r="P119" s="9" t="str"/>
      <x:c r="Q119" s="11" t="str"/>
      <x:c r="R119" s="11" t="str"/>
      <x:c r="S119" s="8" t="str"/>
      <x:c r="T119" s="11" t="str"/>
    </x:row>
    <x:row r="120" ht="38" customHeight="1">
      <x:c r="A120" s="10" t="str">
        <x:v>TC-TRAINER-017</x:v>
      </x:c>
      <x:c r="B120" s="8" t="str">
        <x:v>261005-Skenario Ujifungsi Pemateri.docx</x:v>
      </x:c>
      <x:c r="C120" s="8" t="str">
        <x:v>Instructor</x:v>
      </x:c>
      <x:c r="D120" s="8" t="str">
        <x:v>Video</x:v>
      </x:c>
      <x:c r="E120" s="8" t="str">
        <x:v>Create and publish training video</x:v>
      </x:c>
      <x:c r="F120" s="8" t="str">
        <x:v>Positive</x:v>
      </x:c>
      <x:c r="G120" s="8" t="str">
        <x:v>High</x:v>
      </x:c>
      <x:c r="H120" s="8" t="str">
        <x:v>Pemateri</x:v>
      </x:c>
      <x:c r="I120" s="11" t="str">
        <x:v>Course exists</x:v>
      </x:c>
      <x:c r="J120" s="11" t="str">
        <x:v>Valid video/link and metadata</x:v>
      </x:c>
      <x:c r="K120" s="11" t="str">
        <x:v>1. Add Video activity.
2. Configure metadata/media.
3. Save and preview.</x:v>
      </x:c>
      <x:c r="L120" s="11" t="str">
        <x:v>Video activity saves, previews, and is available to eligible participants according to publication rules.</x:v>
      </x:c>
      <x:c r="M120" s="11" t="str">
        <x:v>Video is a supported activity type and has a defined source rule.</x:v>
      </x:c>
      <x:c r="N120" s="8" t="str">
        <x:v>Not Run</x:v>
      </x:c>
      <x:c r="O120" s="8" t="str"/>
      <x:c r="P120" s="9" t="str"/>
      <x:c r="Q120" s="11" t="str"/>
      <x:c r="R120" s="11" t="str"/>
      <x:c r="S120" s="8" t="str"/>
      <x:c r="T120" s="11" t="str"/>
    </x:row>
    <x:row r="121" ht="38" customHeight="1">
      <x:c r="A121" s="10" t="str">
        <x:v>TC-TRAINER-018</x:v>
      </x:c>
      <x:c r="B121" s="8" t="str">
        <x:v>261005-Skenario Ujifungsi Pemateri.docx</x:v>
      </x:c>
      <x:c r="C121" s="8" t="str">
        <x:v>Instructor</x:v>
      </x:c>
      <x:c r="D121" s="8" t="str">
        <x:v>Zoom</x:v>
      </x:c>
      <x:c r="E121" s="8" t="str">
        <x:v>Create Zoom schedule with valid link</x:v>
      </x:c>
      <x:c r="F121" s="8" t="str">
        <x:v>Positive</x:v>
      </x:c>
      <x:c r="G121" s="8" t="str">
        <x:v>Medium</x:v>
      </x:c>
      <x:c r="H121" s="8" t="str">
        <x:v>Pemateri</x:v>
      </x:c>
      <x:c r="I121" s="11" t="str">
        <x:v>Course exists</x:v>
      </x:c>
      <x:c r="J121" s="11" t="str">
        <x:v>Title, date, start time, duration, valid Zoom URL/Meeting ID</x:v>
      </x:c>
      <x:c r="K121" s="11" t="str">
        <x:v>1. Add Zoom activity.
2. Enter schedule/link.
3. Save.
4. Preview as participant.</x:v>
      </x:c>
      <x:c r="L121" s="11" t="str">
        <x:v>Schedule and link save correctly and participant view displays the expected information.</x:v>
      </x:c>
      <x:c r="M121" s="11" t="str">
        <x:v>Zoom activities require valid schedule data.</x:v>
      </x:c>
      <x:c r="N121" s="8" t="str">
        <x:v>Not Run</x:v>
      </x:c>
      <x:c r="O121" s="8" t="str"/>
      <x:c r="P121" s="9" t="str"/>
      <x:c r="Q121" s="11" t="str"/>
      <x:c r="R121" s="11" t="str"/>
      <x:c r="S121" s="8" t="str"/>
      <x:c r="T121" s="11" t="str"/>
    </x:row>
    <x:row r="122" ht="38" customHeight="1">
      <x:c r="A122" s="10" t="str">
        <x:v>TC-TRAINER-019</x:v>
      </x:c>
      <x:c r="B122" s="8" t="str">
        <x:v>261005-Skenario Ujifungsi Pemateri.docx</x:v>
      </x:c>
      <x:c r="C122" s="8" t="str">
        <x:v>Instructor</x:v>
      </x:c>
      <x:c r="D122" s="8" t="str">
        <x:v>Zoom</x:v>
      </x:c>
      <x:c r="E122" s="8" t="str">
        <x:v>Reject invalid or past Zoom schedule</x:v>
      </x:c>
      <x:c r="F122" s="8" t="str">
        <x:v>Negative</x:v>
      </x:c>
      <x:c r="G122" s="8" t="str">
        <x:v>Medium</x:v>
      </x:c>
      <x:c r="H122" s="8" t="str">
        <x:v>Pemateri</x:v>
      </x:c>
      <x:c r="I122" s="11" t="str">
        <x:v>Course exists</x:v>
      </x:c>
      <x:c r="J122" s="11" t="str">
        <x:v>Malformed URL; past date; end before start</x:v>
      </x:c>
      <x:c r="K122" s="11" t="str">
        <x:v>1. Enter invalid schedule/link.
2. Save.</x:v>
      </x:c>
      <x:c r="L122" s="11" t="str">
        <x:v>Invalid data is rejected with clear feedback.</x:v>
      </x:c>
      <x:c r="M122" s="11" t="str">
        <x:v>Meeting link and schedule fields are validated.</x:v>
      </x:c>
      <x:c r="N122" s="8" t="str">
        <x:v>Not Run</x:v>
      </x:c>
      <x:c r="O122" s="8" t="str"/>
      <x:c r="P122" s="9" t="str"/>
      <x:c r="Q122" s="11" t="str"/>
      <x:c r="R122" s="11" t="str"/>
      <x:c r="S122" s="8" t="str"/>
      <x:c r="T122" s="11" t="str"/>
    </x:row>
    <x:row r="123" ht="38" customHeight="1">
      <x:c r="A123" s="10" t="str">
        <x:v>TC-TRAINER-020</x:v>
      </x:c>
      <x:c r="B123" s="8" t="str">
        <x:v>261005-Skenario Ujifungsi Pemateri.docx</x:v>
      </x:c>
      <x:c r="C123" s="8" t="str">
        <x:v>Instructor</x:v>
      </x:c>
      <x:c r="D123" s="8" t="str">
        <x:v>Assignment</x:v>
      </x:c>
      <x:c r="E123" s="8" t="str">
        <x:v>Create assignment with valid constraints</x:v>
      </x:c>
      <x:c r="F123" s="8" t="str">
        <x:v>Positive</x:v>
      </x:c>
      <x:c r="G123" s="8" t="str">
        <x:v>Critical</x:v>
      </x:c>
      <x:c r="H123" s="8" t="str">
        <x:v>Pemateri</x:v>
      </x:c>
      <x:c r="I123" s="11" t="str">
        <x:v>Course exists</x:v>
      </x:c>
      <x:c r="J123" s="11" t="str">
        <x:v>Instructions, allowed formats, max size, future deadline</x:v>
      </x:c>
      <x:c r="K123" s="11" t="str">
        <x:v>1. Add Assignment activity.
2. Configure instructions, formats, size, deadline.
3. Save.
4. Preview as participant.</x:v>
      </x:c>
      <x:c r="L123" s="11" t="str">
        <x:v>Assignment is saved and participant view shows the exact configured constraints.</x:v>
      </x:c>
      <x:c r="M123" s="11" t="str">
        <x:v>Instructor can create valid assignments.</x:v>
      </x:c>
      <x:c r="N123" s="8" t="str">
        <x:v>Not Run</x:v>
      </x:c>
      <x:c r="O123" s="8" t="str"/>
      <x:c r="P123" s="9" t="str"/>
      <x:c r="Q123" s="11" t="str"/>
      <x:c r="R123" s="11" t="str"/>
      <x:c r="S123" s="8" t="str"/>
      <x:c r="T123" s="11" t="str"/>
    </x:row>
    <x:row r="124" ht="38" customHeight="1">
      <x:c r="A124" s="10" t="str">
        <x:v>TC-TRAINER-021</x:v>
      </x:c>
      <x:c r="B124" s="8" t="str">
        <x:v>261005-Skenario Ujifungsi Pemateri.docx</x:v>
      </x:c>
      <x:c r="C124" s="8" t="str">
        <x:v>Instructor</x:v>
      </x:c>
      <x:c r="D124" s="8" t="str">
        <x:v>Assignment</x:v>
      </x:c>
      <x:c r="E124" s="8" t="str">
        <x:v>Reject invalid assignment constraints</x:v>
      </x:c>
      <x:c r="F124" s="8" t="str">
        <x:v>Negative</x:v>
      </x:c>
      <x:c r="G124" s="8" t="str">
        <x:v>High</x:v>
      </x:c>
      <x:c r="H124" s="8" t="str">
        <x:v>Pemateri</x:v>
      </x:c>
      <x:c r="I124" s="11" t="str">
        <x:v>Assignment form available</x:v>
      </x:c>
      <x:c r="J124" s="11" t="str">
        <x:v>Unsupported format; negative/zero size; deadline in past; blank instructions</x:v>
      </x:c>
      <x:c r="K124" s="11" t="str">
        <x:v>1. Enter invalid values.
2. Save.</x:v>
      </x:c>
      <x:c r="L124" s="11" t="str">
        <x:v>Invalid configuration is rejected with field-level guidance.</x:v>
      </x:c>
      <x:c r="M124" s="11" t="str">
        <x:v>Assignment configuration is validated.</x:v>
      </x:c>
      <x:c r="N124" s="8" t="str">
        <x:v>Not Run</x:v>
      </x:c>
      <x:c r="O124" s="8" t="str"/>
      <x:c r="P124" s="9" t="str"/>
      <x:c r="Q124" s="11" t="str"/>
      <x:c r="R124" s="11" t="str"/>
      <x:c r="S124" s="8" t="str"/>
      <x:c r="T124" s="11" t="str"/>
    </x:row>
    <x:row r="125" ht="38" customHeight="1">
      <x:c r="A125" s="10" t="str">
        <x:v>TC-TRAINER-022</x:v>
      </x:c>
      <x:c r="B125" s="8" t="str">
        <x:v>261005-Skenario Ujifungsi Pemateri.docx</x:v>
      </x:c>
      <x:c r="C125" s="8" t="str">
        <x:v>Instructor</x:v>
      </x:c>
      <x:c r="D125" s="8" t="str">
        <x:v>Assignment</x:v>
      </x:c>
      <x:c r="E125" s="8" t="str">
        <x:v>Edit or delete assignment</x:v>
      </x:c>
      <x:c r="F125" s="8" t="str">
        <x:v>Positive</x:v>
      </x:c>
      <x:c r="G125" s="8" t="str">
        <x:v>Medium</x:v>
      </x:c>
      <x:c r="H125" s="8" t="str">
        <x:v>Pemateri</x:v>
      </x:c>
      <x:c r="I125" s="11" t="str">
        <x:v>Assignment exists and policy allows change</x:v>
      </x:c>
      <x:c r="J125" s="11" t="str">
        <x:v>Change instruction/deadline or delete</x:v>
      </x:c>
      <x:c r="K125" s="11" t="str">
        <x:v>1. Edit/delete assignment.
2. Verify participant view and existing submissions.</x:v>
      </x:c>
      <x:c r="L125" s="11" t="str">
        <x:v>Change/delete follows the approved impact policy and does not silently corrupt existing submissions.</x:v>
      </x:c>
      <x:c r="M125" s="11" t="str">
        <x:v>Assignment lifecycle preserves participant data.</x:v>
      </x:c>
      <x:c r="N125" s="8" t="str">
        <x:v>Not Run</x:v>
      </x:c>
      <x:c r="O125" s="8" t="str"/>
      <x:c r="P125" s="9" t="str"/>
      <x:c r="Q125" s="11" t="str"/>
      <x:c r="R125" s="11" t="str"/>
      <x:c r="S125" s="8" t="str"/>
      <x:c r="T125" s="11" t="str"/>
    </x:row>
    <x:row r="126" ht="38" customHeight="1">
      <x:c r="A126" s="10" t="str">
        <x:v>TC-QUALITY-001</x:v>
      </x:c>
      <x:c r="B126" s="8" t="str">
        <x:v>Derived from all documents</x:v>
      </x:c>
      <x:c r="C126" s="8" t="str">
        <x:v>Cross-cutting</x:v>
      </x:c>
      <x:c r="D126" s="8" t="str">
        <x:v>Browser compatibility</x:v>
      </x:c>
      <x:c r="E126" s="8" t="str">
        <x:v>Core flows in supported desktop browsers</x:v>
      </x:c>
      <x:c r="F126" s="8" t="str">
        <x:v>Compatibility</x:v>
      </x:c>
      <x:c r="G126" s="8" t="str">
        <x:v>High</x:v>
      </x:c>
      <x:c r="H126" s="8" t="str">
        <x:v>All roles</x:v>
      </x:c>
      <x:c r="I126" s="11" t="str">
        <x:v>Supported browser matrix is approved</x:v>
      </x:c>
      <x:c r="J126" s="11" t="str">
        <x:v>Chrome and Edge supported versions</x:v>
      </x:c>
      <x:c r="K126" s="11" t="str">
        <x:v>1. Run login, course, upload, quiz, certificate, and Admin/Pemateri flows in each supported browser.</x:v>
      </x:c>
      <x:c r="L126" s="11" t="str">
        <x:v>Core behavior and layout are functionally equivalent in all supported browsers.</x:v>
      </x:c>
      <x:c r="M126" s="11" t="str">
        <x:v>Supported browser baseline is documented.</x:v>
      </x:c>
      <x:c r="N126" s="8" t="str">
        <x:v>Not Run</x:v>
      </x:c>
      <x:c r="O126" s="8" t="str"/>
      <x:c r="P126" s="9" t="str"/>
      <x:c r="Q126" s="11" t="str"/>
      <x:c r="R126" s="11" t="str"/>
      <x:c r="S126" s="8" t="str"/>
      <x:c r="T126" s="11" t="str"/>
    </x:row>
    <x:row r="127" ht="38" customHeight="1">
      <x:c r="A127" s="10" t="str">
        <x:v>TC-QUALITY-002</x:v>
      </x:c>
      <x:c r="B127" s="8" t="str">
        <x:v>Derived from all documents</x:v>
      </x:c>
      <x:c r="C127" s="8" t="str">
        <x:v>Cross-cutting</x:v>
      </x:c>
      <x:c r="D127" s="8" t="str">
        <x:v>Responsive UI</x:v>
      </x:c>
      <x:c r="E127" s="8" t="str">
        <x:v>Core flows on mobile viewport</x:v>
      </x:c>
      <x:c r="F127" s="8" t="str">
        <x:v>Usability</x:v>
      </x:c>
      <x:c r="G127" s="8" t="str">
        <x:v>Medium</x:v>
      </x:c>
      <x:c r="H127" s="8" t="str">
        <x:v>All roles</x:v>
      </x:c>
      <x:c r="I127" s="11" t="str">
        <x:v>Responsive breakpoint policy is defined</x:v>
      </x:c>
      <x:c r="J127" s="11" t="str">
        <x:v>Mobile viewport and touch input</x:v>
      </x:c>
      <x:c r="K127" s="11" t="str">
        <x:v>1. Run login, course detail, quiz, upload, and certificate flows at mobile width.</x:v>
      </x:c>
      <x:c r="L127" s="11" t="str">
        <x:v>Controls remain usable, text is not clipped, and key actions are reachable.</x:v>
      </x:c>
      <x:c r="M127" s="11" t="str">
        <x:v>Responsive behavior meets the product baseline.</x:v>
      </x:c>
      <x:c r="N127" s="8" t="str">
        <x:v>Not Run</x:v>
      </x:c>
      <x:c r="O127" s="8" t="str"/>
      <x:c r="P127" s="9" t="str"/>
      <x:c r="Q127" s="11" t="str"/>
      <x:c r="R127" s="11" t="str"/>
      <x:c r="S127" s="8" t="str"/>
      <x:c r="T127" s="11" t="str"/>
    </x:row>
    <x:row r="128" ht="38" customHeight="1">
      <x:c r="A128" s="10" t="str">
        <x:v>TC-QUALITY-003</x:v>
      </x:c>
      <x:c r="B128" s="8" t="str">
        <x:v>Derived from all documents</x:v>
      </x:c>
      <x:c r="C128" s="8" t="str">
        <x:v>Cross-cutting</x:v>
      </x:c>
      <x:c r="D128" s="8" t="str">
        <x:v>Accessibility</x:v>
      </x:c>
      <x:c r="E128" s="8" t="str">
        <x:v>Keyboard and form accessibility</x:v>
      </x:c>
      <x:c r="F128" s="8" t="str">
        <x:v>Accessibility</x:v>
      </x:c>
      <x:c r="G128" s="8" t="str">
        <x:v>Medium</x:v>
      </x:c>
      <x:c r="H128" s="8" t="str">
        <x:v>All roles</x:v>
      </x:c>
      <x:c r="I128" s="11" t="str">
        <x:v>Accessibility baseline is defined</x:v>
      </x:c>
      <x:c r="J128" s="11" t="str">
        <x:v>Keyboard only; screen reader labels if available</x:v>
      </x:c>
      <x:c r="K128" s="11" t="str">
        <x:v>1. Navigate forms with keyboard.
2. Inspect focus, labels, validation, and errors.</x:v>
      </x:c>
      <x:c r="L128" s="11" t="str">
        <x:v>Interactive controls are reachable, focus is visible, fields have labels, and validation is understandable.</x:v>
      </x:c>
      <x:c r="M128" s="11" t="str">
        <x:v>Core forms meet the agreed accessibility baseline.</x:v>
      </x:c>
      <x:c r="N128" s="8" t="str">
        <x:v>Not Run</x:v>
      </x:c>
      <x:c r="O128" s="8" t="str"/>
      <x:c r="P128" s="9" t="str"/>
      <x:c r="Q128" s="11" t="str"/>
      <x:c r="R128" s="11" t="str"/>
      <x:c r="S128" s="8" t="str"/>
      <x:c r="T128" s="11" t="str"/>
    </x:row>
    <x:row r="129" ht="38" customHeight="1">
      <x:c r="A129" s="10" t="str">
        <x:v>TC-QUALITY-004</x:v>
      </x:c>
      <x:c r="B129" s="8" t="str">
        <x:v>Derived from all documents</x:v>
      </x:c>
      <x:c r="C129" s="8" t="str">
        <x:v>Cross-cutting</x:v>
      </x:c>
      <x:c r="D129" s="8" t="str">
        <x:v>Security</x:v>
      </x:c>
      <x:c r="E129" s="8" t="str">
        <x:v>Stored XSS in text fields</x:v>
      </x:c>
      <x:c r="F129" s="8" t="str">
        <x:v>Security</x:v>
      </x:c>
      <x:c r="G129" s="8" t="str">
        <x:v>High</x:v>
      </x:c>
      <x:c r="H129" s="8" t="str">
        <x:v>All roles</x:v>
      </x:c>
      <x:c r="I129" s="11" t="str">
        <x:v>Test environment and security approval</x:v>
      </x:c>
      <x:c r="J129" s="11" t="str">
        <x:v>Script-like title, bio, feedback, instruction text</x:v>
      </x:c>
      <x:c r="K129" s="11" t="str">
        <x:v>1. Submit encoded script-like content in text fields.
2. View it in participant/Admin pages.</x:v>
      </x:c>
      <x:c r="L129" s="11" t="str">
        <x:v>Content is encoded and never executed in another user's browser.</x:v>
      </x:c>
      <x:c r="M129" s="11" t="str">
        <x:v>User-entered text is safely rendered.</x:v>
      </x:c>
      <x:c r="N129" s="8" t="str">
        <x:v>Not Run</x:v>
      </x:c>
      <x:c r="O129" s="8" t="str"/>
      <x:c r="P129" s="9" t="str"/>
      <x:c r="Q129" s="11" t="str"/>
      <x:c r="R129" s="11" t="str"/>
      <x:c r="S129" s="8" t="str"/>
      <x:c r="T129" s="11" t="str"/>
    </x:row>
    <x:row r="130" ht="38" customHeight="1">
      <x:c r="A130" s="10" t="str">
        <x:v>TC-QUALITY-005</x:v>
      </x:c>
      <x:c r="B130" s="8" t="str">
        <x:v>Derived from all documents</x:v>
      </x:c>
      <x:c r="C130" s="8" t="str">
        <x:v>Cross-cutting</x:v>
      </x:c>
      <x:c r="D130" s="8" t="str">
        <x:v>Concurrency</x:v>
      </x:c>
      <x:c r="E130" s="8" t="str">
        <x:v>Two users/admins edit or save same record</x:v>
      </x:c>
      <x:c r="F130" s="8" t="str">
        <x:v>Concurrency</x:v>
      </x:c>
      <x:c r="G130" s="8" t="str">
        <x:v>Medium</x:v>
      </x:c>
      <x:c r="H130" s="8" t="str">
        <x:v>Admin/Pemateri</x:v>
      </x:c>
      <x:c r="I130" s="11" t="str">
        <x:v>Two sessions can access same record</x:v>
      </x:c>
      <x:c r="J130" s="11" t="str">
        <x:v>Same course/instructor record</x:v>
      </x:c>
      <x:c r="K130" s="11" t="str">
        <x:v>1. Open same record in two sessions.
2. Save conflicting changes.</x:v>
      </x:c>
      <x:c r="L130" s="11" t="str">
        <x:v>Conflict handling follows policy and does not silently lose or overwrite data without indication.</x:v>
      </x:c>
      <x:c r="M130" s="11" t="str">
        <x:v>Concurrent edits have a defined behavior.</x:v>
      </x:c>
      <x:c r="N130" s="8" t="str">
        <x:v>Not Run</x:v>
      </x:c>
      <x:c r="O130" s="8" t="str"/>
      <x:c r="P130" s="9" t="str"/>
      <x:c r="Q130" s="11" t="str"/>
      <x:c r="R130" s="11" t="str"/>
      <x:c r="S130" s="8" t="str"/>
      <x:c r="T130" s="11" t="str"/>
    </x:row>
    <x:row r="131" ht="38" customHeight="1">
      <x:c r="A131" s="10" t="str">
        <x:v>TC-QUALITY-006</x:v>
      </x:c>
      <x:c r="B131" s="8" t="str">
        <x:v>Derived from all documents</x:v>
      </x:c>
      <x:c r="C131" s="8" t="str">
        <x:v>Cross-cutting</x:v>
      </x:c>
      <x:c r="D131" s="8" t="str">
        <x:v>Performance</x:v>
      </x:c>
      <x:c r="E131" s="8" t="str">
        <x:v>Core page response under expected load</x:v>
      </x:c>
      <x:c r="F131" s="8" t="str">
        <x:v>Performance</x:v>
      </x:c>
      <x:c r="G131" s="8" t="str">
        <x:v>Medium</x:v>
      </x:c>
      <x:c r="H131" s="8" t="str">
        <x:v>All roles</x:v>
      </x:c>
      <x:c r="I131" s="11" t="str">
        <x:v>Performance target and representative dataset are defined</x:v>
      </x:c>
      <x:c r="J131" s="11" t="str">
        <x:v>Representative catalog/course/user data</x:v>
      </x:c>
      <x:c r="K131" s="11" t="str">
        <x:v>1. Open dashboard, catalog, course detail, Admin list, and certificate list under expected load.</x:v>
      </x:c>
      <x:c r="L131" s="11" t="str">
        <x:v>Pages and actions meet agreed response targets without timeouts or partial data.</x:v>
      </x:c>
      <x:c r="M131" s="11" t="str">
        <x:v>Performance targets are measurable.</x:v>
      </x:c>
      <x:c r="N131" s="8" t="str">
        <x:v>Not Run</x:v>
      </x:c>
      <x:c r="O131" s="8" t="str"/>
      <x:c r="P131" s="9" t="str"/>
      <x:c r="Q131" s="11" t="str"/>
      <x:c r="R131" s="11" t="str"/>
      <x:c r="S131" s="8" t="str"/>
      <x:c r="T131" s="11" t="str"/>
    </x:row>
    <x:row r="132" ht="38" customHeight="1">
      <x:c r="A132" s="10" t="str">
        <x:v>TC-QUALITY-007</x:v>
      </x:c>
      <x:c r="B132" s="8" t="str">
        <x:v>Derived from all documents</x:v>
      </x:c>
      <x:c r="C132" s="8" t="str">
        <x:v>Cross-cutting</x:v>
      </x:c>
      <x:c r="D132" s="8" t="str">
        <x:v>Data persistence</x:v>
      </x:c>
      <x:c r="E132" s="8" t="str">
        <x:v>Saved changes survive refresh and relogin</x:v>
      </x:c>
      <x:c r="F132" s="8" t="str">
        <x:v>Recovery</x:v>
      </x:c>
      <x:c r="G132" s="8" t="str">
        <x:v>High</x:v>
      </x:c>
      <x:c r="H132" s="8" t="str">
        <x:v>Admin/Pemateri/Peserta</x:v>
      </x:c>
      <x:c r="I132" s="11" t="str">
        <x:v>A mutable record exists</x:v>
      </x:c>
      <x:c r="J132" s="11" t="str">
        <x:v>Edited profile/course/activity/submission</x:v>
      </x:c>
      <x:c r="K132" s="11" t="str">
        <x:v>1. Save a change.
2. Refresh, logout, and relogin.
3. Reopen record.</x:v>
      </x:c>
      <x:c r="L132" s="11" t="str">
        <x:v>Persisted values remain correct and no duplicate record appears.</x:v>
      </x:c>
      <x:c r="M132" s="11" t="str">
        <x:v>Successful saves are durable.</x:v>
      </x:c>
      <x:c r="N132" s="8" t="str">
        <x:v>Not Run</x:v>
      </x:c>
      <x:c r="O132" s="8" t="str"/>
      <x:c r="P132" s="9" t="str"/>
      <x:c r="Q132" s="11" t="str"/>
      <x:c r="R132" s="11" t="str"/>
      <x:c r="S132" s="8" t="str"/>
      <x:c r="T132" s="11" t="str"/>
    </x:row>
    <x:row r="133" ht="38" customHeight="1">
      <x:c r="A133" s="10" t="str">
        <x:v>TC-QUALITY-008</x:v>
      </x:c>
      <x:c r="B133" s="8" t="str">
        <x:v>Derived from all documents</x:v>
      </x:c>
      <x:c r="C133" s="8" t="str">
        <x:v>Cross-cutting</x:v>
      </x:c>
      <x:c r="D133" s="8" t="str">
        <x:v>Auditability</x:v>
      </x:c>
      <x:c r="E133" s="8" t="str">
        <x:v>Critical actions are audited</x:v>
      </x:c>
      <x:c r="F133" s="8" t="str">
        <x:v>Security</x:v>
      </x:c>
      <x:c r="G133" s="8" t="str">
        <x:v>Medium</x:v>
      </x:c>
      <x:c r="H133" s="8" t="str">
        <x:v>Admin/System</x:v>
      </x:c>
      <x:c r="I133" s="11" t="str">
        <x:v>Audit policy is defined</x:v>
      </x:c>
      <x:c r="J133" s="11" t="str">
        <x:v>Login, delete, publish, reset, certificate generation</x:v>
      </x:c>
      <x:c r="K133" s="11" t="str">
        <x:v>1. Execute critical actions.
2. Review audit log or trace.</x:v>
      </x:c>
      <x:c r="L133" s="11" t="str">
        <x:v>Audit records contain actor, timestamp, action, target, and outcome according to policy.</x:v>
      </x:c>
      <x:c r="M133" s="11" t="str">
        <x:v>Critical state changes are traceable.</x:v>
      </x:c>
      <x:c r="N133" s="8" t="str">
        <x:v>Not Run</x:v>
      </x:c>
      <x:c r="O133" s="8" t="str"/>
      <x:c r="P133" s="9" t="str"/>
      <x:c r="Q133" s="11" t="str"/>
      <x:c r="R133" s="11" t="str"/>
      <x:c r="S133" s="8" t="str"/>
      <x:c r="T133" s="11" t="str"/>
    </x:row>
  </x:sheetData>
  <x:conditionalFormatting sqref="N2:N13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conditionalFormatting sqref="G2:G133">
    <x:cfRule type="containsText" dxfId="3" priority="4" operator="containsText" text="Critical"/>
  </x:conditionalFormatting>
  <x:dataValidations count="2">
    <x:dataValidation type="list" sqref="N2:N133">
      <x:formula1>"Not Run,Pass,Fail,Blocked,Not Applicable"</x:formula1>
    </x:dataValidation>
    <x:dataValidation type="list" sqref="G2:G13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9ed23b3f77452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34" hidden="0" customWidth="1"/>
    <x:col min="5" max="5" width="34" hidden="0" customWidth="1"/>
    <x:col min="6" max="6" width="34" hidden="0" customWidth="1"/>
    <x:col min="7" max="7" width="30" hidden="0" customWidth="1"/>
  </x:cols>
  <x:sheetData>
    <x:row r="1" ht="34" customHeight="1">
      <x:c r="A1" s="7" t="str">
        <x:v>Data ID</x:v>
      </x:c>
      <x:c r="B1" s="7" t="str">
        <x:v>Category</x:v>
      </x:c>
      <x:c r="C1" s="7" t="str">
        <x:v>Role/Type</x:v>
      </x:c>
      <x:c r="D1" s="7" t="str">
        <x:v>Value or Description</x:v>
      </x:c>
      <x:c r="E1" s="7" t="str">
        <x:v>Usage</x:v>
      </x:c>
      <x:c r="F1" s="7" t="str">
        <x:v>Expected Setup</x:v>
      </x:c>
      <x:c r="G1" s="7" t="str">
        <x:v>Notes</x:v>
      </x:c>
    </x:row>
    <x:row r="2" ht="34" customHeight="1">
      <x:c r="A2" s="8" t="str">
        <x:v>TD-ROLE-001</x:v>
      </x:c>
      <x:c r="B2" s="8" t="str">
        <x:v>Account</x:v>
      </x:c>
      <x:c r="C2" s="8" t="str">
        <x:v>Admin</x:v>
      </x:c>
      <x:c r="D2" s="8" t="str">
        <x:v>Active Admin account</x:v>
      </x:c>
      <x:c r="E2" s="8" t="str">
        <x:v>Admin menu, instructor/user/course/certificate monitoring</x:v>
      </x:c>
      <x:c r="F2" s="8" t="str">
        <x:v>Admin account with permitted scope</x:v>
      </x:c>
      <x:c r="G2" s="8" t="str">
        <x:v>Use non-Admin accounts for negative authorization cases</x:v>
      </x:c>
    </x:row>
    <x:row r="3" ht="34" customHeight="1">
      <x:c r="A3" s="8" t="str">
        <x:v>TD-ROLE-002</x:v>
      </x:c>
      <x:c r="B3" s="8" t="str">
        <x:v>Account</x:v>
      </x:c>
      <x:c r="C3" s="8" t="str">
        <x:v>Pemateri</x:v>
      </x:c>
      <x:c r="D3" s="8" t="str">
        <x:v>Active instructor account</x:v>
      </x:c>
      <x:c r="E3" s="8" t="str">
        <x:v>Profile, course and activity management</x:v>
      </x:c>
      <x:c r="F3" s="8" t="str">
        <x:v>Instructor owns assigned course(s)</x:v>
      </x:c>
      <x:c r="G3" s="8" t="str">
        <x:v>Create a second instructor for ownership tests</x:v>
      </x:c>
    </x:row>
    <x:row r="4" ht="34" customHeight="1">
      <x:c r="A4" s="8" t="str">
        <x:v>TD-ROLE-003</x:v>
      </x:c>
      <x:c r="B4" s="8" t="str">
        <x:v>Account</x:v>
      </x:c>
      <x:c r="C4" s="8" t="str">
        <x:v>Peserta Basic</x:v>
      </x:c>
      <x:c r="D4" s="8" t="str">
        <x:v>Active Basic participant account</x:v>
      </x:c>
      <x:c r="E4" s="8" t="str">
        <x:v>Catalog entitlement and course access</x:v>
      </x:c>
      <x:c r="F4" s="8" t="str">
        <x:v>Basic entitlement active</x:v>
      </x:c>
      <x:c r="G4" s="8" t="str">
        <x:v>Align to actual product tier names</x:v>
      </x:c>
    </x:row>
    <x:row r="5" ht="34" customHeight="1">
      <x:c r="A5" s="8" t="str">
        <x:v>TD-ROLE-004</x:v>
      </x:c>
      <x:c r="B5" s="8" t="str">
        <x:v>Account</x:v>
      </x:c>
      <x:c r="C5" s="8" t="str">
        <x:v>Peserta Premium</x:v>
      </x:c>
      <x:c r="D5" s="8" t="str">
        <x:v>Active Premium participant account</x:v>
      </x:c>
      <x:c r="E5" s="8" t="str">
        <x:v>Catalog entitlement and restricted content</x:v>
      </x:c>
      <x:c r="F5" s="8" t="str">
        <x:v>Premium entitlement active</x:v>
      </x:c>
      <x:c r="G5" s="8" t="str">
        <x:v>Align to actual product tier names</x:v>
      </x:c>
    </x:row>
    <x:row r="6" ht="34" customHeight="1">
      <x:c r="A6" s="8" t="str">
        <x:v>TD-COURSE-001</x:v>
      </x:c>
      <x:c r="B6" s="8" t="str">
        <x:v>Course</x:v>
      </x:c>
      <x:c r="C6" s="8" t="str">
        <x:v>All activity types</x:v>
      </x:c>
      <x:c r="D6" s="8" t="str">
        <x:v>Published reference course</x:v>
      </x:c>
      <x:c r="E6" s="8" t="str">
        <x:v>End-to-end participant flow</x:v>
      </x:c>
      <x:c r="F6" s="8" t="str">
        <x:v>Contains Pre-Test, Quiz, Literature, Zoom, Assignment, Video, Post-Test</x:v>
      </x:c>
      <x:c r="G6" s="8" t="str">
        <x:v>Keep a separate clean fixture for reset/expiry tests</x:v>
      </x:c>
    </x:row>
    <x:row r="7" ht="34" customHeight="1">
      <x:c r="A7" s="8" t="str">
        <x:v>TD-COURSE-002</x:v>
      </x:c>
      <x:c r="B7" s="8" t="str">
        <x:v>Course</x:v>
      </x:c>
      <x:c r="C7" s="8" t="str">
        <x:v>Access</x:v>
      </x:c>
      <x:c r="D7" s="8" t="str">
        <x:v>Basic-only and Premium-only courses</x:v>
      </x:c>
      <x:c r="E7" s="8" t="str">
        <x:v>Catalog and direct URL authorization</x:v>
      </x:c>
      <x:c r="F7" s="8" t="str">
        <x:v>Two courses with explicit entitlements</x:v>
      </x:c>
      <x:c r="G7" s="8" t="str">
        <x:v>Record expected catalog per account</x:v>
      </x:c>
    </x:row>
    <x:row r="8" ht="34" customHeight="1">
      <x:c r="A8" s="8" t="str">
        <x:v>TD-FILE-001</x:v>
      </x:c>
      <x:c r="B8" s="8" t="str">
        <x:v>File</x:v>
      </x:c>
      <x:c r="C8" s="8" t="str">
        <x:v>PDF valid</x:v>
      </x:c>
      <x:c r="D8" s="8" t="str">
        <x:v>Valid PDF under limit</x:v>
      </x:c>
      <x:c r="E8" s="8" t="str">
        <x:v>Literature and assignment upload</x:v>
      </x:c>
      <x:c r="F8" s="8" t="str">
        <x:v>Readable PDF under configured maximum</x:v>
      </x:c>
      <x:c r="G8" s="8" t="str">
        <x:v>Use known file hash for comparison</x:v>
      </x:c>
    </x:row>
    <x:row r="9" ht="34" customHeight="1">
      <x:c r="A9" s="8" t="str">
        <x:v>TD-FILE-002</x:v>
      </x:c>
      <x:c r="B9" s="8" t="str">
        <x:v>File</x:v>
      </x:c>
      <x:c r="C9" s="8" t="str">
        <x:v>PDF boundary</x:v>
      </x:c>
      <x:c r="D9" s="8" t="str">
        <x:v>File exactly at configured limit</x:v>
      </x:c>
      <x:c r="E9" s="8" t="str">
        <x:v>Assignment size boundary</x:v>
      </x:c>
      <x:c r="F9" s="8" t="str">
        <x:v>Exactly the configured maximum, e.g. 2 MB if approved</x:v>
      </x:c>
      <x:c r="G9" s="8" t="str">
        <x:v>Confirm whether limit is inclusive</x:v>
      </x:c>
    </x:row>
    <x:row r="10" ht="34" customHeight="1">
      <x:c r="A10" s="8" t="str">
        <x:v>TD-FILE-003</x:v>
      </x:c>
      <x:c r="B10" s="8" t="str">
        <x:v>File</x:v>
      </x:c>
      <x:c r="C10" s="8" t="str">
        <x:v>PDF oversized</x:v>
      </x:c>
      <x:c r="D10" s="8" t="str">
        <x:v>File slightly above limit</x:v>
      </x:c>
      <x:c r="E10" s="8" t="str">
        <x:v>Assignment rejection</x:v>
      </x:c>
      <x:c r="F10" s="8" t="str">
        <x:v>Configured maximum plus a small delta</x:v>
      </x:c>
      <x:c r="G10" s="8" t="str">
        <x:v>Confirm server and client use same limit</x:v>
      </x:c>
    </x:row>
    <x:row r="11" ht="34" customHeight="1">
      <x:c r="A11" s="8" t="str">
        <x:v>TD-FILE-004</x:v>
      </x:c>
      <x:c r="B11" s="8" t="str">
        <x:v>File</x:v>
      </x:c>
      <x:c r="C11" s="8" t="str">
        <x:v>Unsupported</x:v>
      </x:c>
      <x:c r="D11" s="8" t="str">
        <x:v>EXE/MP4/DOCX where unsupported</x:v>
      </x:c>
      <x:c r="E11" s="8" t="str">
        <x:v>Format validation</x:v>
      </x:c>
      <x:c r="F11" s="8" t="str">
        <x:v>Unsupported extension and MIME type</x:v>
      </x:c>
      <x:c r="G11" s="8" t="str">
        <x:v>Do not rely only on extension</x:v>
      </x:c>
    </x:row>
    <x:row r="12" ht="34" customHeight="1">
      <x:c r="A12" s="8" t="str">
        <x:v>TD-FILE-005</x:v>
      </x:c>
      <x:c r="B12" s="8" t="str">
        <x:v>File</x:v>
      </x:c>
      <x:c r="C12" s="8" t="str">
        <x:v>Corrupt</x:v>
      </x:c>
      <x:c r="D12" s="8" t="str">
        <x:v>Corrupt PDF/DOCX</x:v>
      </x:c>
      <x:c r="E12" s="8" t="str">
        <x:v>Content validation</x:v>
      </x:c>
      <x:c r="F12" s="8" t="str">
        <x:v>File has allowed extension but cannot be opened</x:v>
      </x:c>
      <x:c r="G12" s="8" t="str">
        <x:v>Verify error is user-friendly</x:v>
      </x:c>
    </x:row>
    <x:row r="13" ht="34" customHeight="1">
      <x:c r="A13" s="8" t="str">
        <x:v>TD-SCORE-001</x:v>
      </x:c>
      <x:c r="B13" s="8" t="str">
        <x:v>Score</x:v>
      </x:c>
      <x:c r="C13" s="8" t="str">
        <x:v>Threshold</x:v>
      </x:c>
      <x:c r="D13" s="8" t="str">
        <x:v>Threshold minus one</x:v>
      </x:c>
      <x:c r="E13" s="8" t="str">
        <x:v>Pass/fail boundary</x:v>
      </x:c>
      <x:c r="F13" s="8" t="str">
        <x:v>Use configured threshold - 1</x:v>
      </x:c>
      <x:c r="G13" s="8" t="str">
        <x:v>Do not hardcode 70 unless business rule confirms it</x:v>
      </x:c>
    </x:row>
    <x:row r="14" ht="34" customHeight="1">
      <x:c r="A14" s="8" t="str">
        <x:v>TD-SCORE-002</x:v>
      </x:c>
      <x:c r="B14" s="8" t="str">
        <x:v>Score</x:v>
      </x:c>
      <x:c r="C14" s="8" t="str">
        <x:v>Threshold</x:v>
      </x:c>
      <x:c r="D14" s="8" t="str">
        <x:v>Exactly threshold</x:v>
      </x:c>
      <x:c r="E14" s="8" t="str">
        <x:v>Pass/fail boundary</x:v>
      </x:c>
      <x:c r="F14" s="8" t="str">
        <x:v>Use configured threshold</x:v>
      </x:c>
      <x:c r="G14" s="8" t="str">
        <x:v>Defines equality behavior</x:v>
      </x:c>
    </x:row>
    <x:row r="15" ht="34" customHeight="1">
      <x:c r="A15" s="8" t="str">
        <x:v>TD-SCORE-003</x:v>
      </x:c>
      <x:c r="B15" s="8" t="str">
        <x:v>Score</x:v>
      </x:c>
      <x:c r="C15" s="8" t="str">
        <x:v>Threshold</x:v>
      </x:c>
      <x:c r="D15" s="8" t="str">
        <x:v>Threshold plus one</x:v>
      </x:c>
      <x:c r="E15" s="8" t="str">
        <x:v>Pass/fail boundary</x:v>
      </x:c>
      <x:c r="F15" s="8" t="str">
        <x:v>Use configured threshold + 1</x:v>
      </x:c>
      <x:c r="G15" s="8" t="str">
        <x:v>Defines above-threshold behavior</x:v>
      </x:c>
    </x:row>
    <x:row r="16" ht="34" customHeight="1">
      <x:c r="A16" s="8" t="str">
        <x:v>TD-TIME-001</x:v>
      </x:c>
      <x:c r="B16" s="8" t="str">
        <x:v>Time</x:v>
      </x:c>
      <x:c r="C16" s="8" t="str">
        <x:v>Active period</x:v>
      </x:c>
      <x:c r="D16" s="8" t="str">
        <x:v>7-day course</x:v>
      </x:c>
      <x:c r="E16" s="8" t="str">
        <x:v>Deadline and expiry</x:v>
      </x:c>
      <x:c r="F16" s="8" t="str">
        <x:v>Activation timestamp plus configured duration</x:v>
      </x:c>
      <x:c r="G16" s="8" t="str">
        <x:v>Use server time as reference</x:v>
      </x:c>
    </x:row>
    <x:row r="17" ht="34" customHeight="1">
      <x:c r="A17" s="8" t="str">
        <x:v>TD-TIME-002</x:v>
      </x:c>
      <x:c r="B17" s="8" t="str">
        <x:v>Time</x:v>
      </x:c>
      <x:c r="C17" s="8" t="str">
        <x:v>Reminder</x:v>
      </x:c>
      <x:c r="D17" s="8" t="str">
        <x:v>H-3 and H-1</x:v>
      </x:c>
      <x:c r="E17" s="8" t="str">
        <x:v>Reminder schedule</x:v>
      </x:c>
      <x:c r="F17" s="8" t="str">
        <x:v>Course expiration at known future timestamp</x:v>
      </x:c>
      <x:c r="G17" s="8" t="str">
        <x:v>Confirm notification channel and timezone</x:v>
      </x:c>
    </x:row>
    <x:row r="18" ht="34" customHeight="1">
      <x:c r="A18" s="8" t="str">
        <x:v>TD-TIME-003</x:v>
      </x:c>
      <x:c r="B18" s="8" t="str">
        <x:v>Time</x:v>
      </x:c>
      <x:c r="C18" s="8" t="str">
        <x:v>Expired</x:v>
      </x:c>
      <x:c r="D18" s="8" t="str">
        <x:v>Already expired course</x:v>
      </x:c>
      <x:c r="E18" s="8" t="str">
        <x:v>Expired access and restart</x:v>
      </x:c>
      <x:c r="F18" s="8" t="str">
        <x:v>Expiration timestamp before current server time</x:v>
      </x:c>
      <x:c r="G18" s="8" t="str">
        <x:v>Use isolated test account</x:v>
      </x:c>
    </x:row>
    <x:row r="19" ht="34" customHeight="1">
      <x:c r="A19" s="8" t="str">
        <x:v>TD-QUIZ-001</x:v>
      </x:c>
      <x:c r="B19" s="8" t="str">
        <x:v>Quiz</x:v>
      </x:c>
      <x:c r="C19" s="8" t="str">
        <x:v>Timer</x:v>
      </x:c>
      <x:c r="D19" s="8" t="str">
        <x:v>Short-duration quiz</x:v>
      </x:c>
      <x:c r="E19" s="8" t="str">
        <x:v>Timer and timeout</x:v>
      </x:c>
      <x:c r="F19" s="8" t="str">
        <x:v>Quiz with short configured duration</x:v>
      </x:c>
      <x:c r="G19" s="8" t="str">
        <x:v>Use a disposable attempt</x:v>
      </x:c>
    </x:row>
    <x:row r="20" ht="34" customHeight="1">
      <x:c r="A20" s="8" t="str">
        <x:v>TD-QUIZ-002</x:v>
      </x:c>
      <x:c r="B20" s="8" t="str">
        <x:v>Quiz</x:v>
      </x:c>
      <x:c r="C20" s="8" t="str">
        <x:v>Scoring</x:v>
      </x:c>
      <x:c r="D20" s="8" t="str">
        <x:v>Known answer key</x:v>
      </x:c>
      <x:c r="E20" s="8" t="str">
        <x:v>Score calculation</x:v>
      </x:c>
      <x:c r="F20" s="8" t="str">
        <x:v>Known correct/incorrect answer combination</x:v>
      </x:c>
      <x:c r="G20" s="8" t="str">
        <x:v>Record expected score independently</x:v>
      </x:c>
    </x:row>
    <x:row r="21" ht="34" customHeight="1">
      <x:c r="A21" s="8" t="str">
        <x:v>TD-URL-001</x:v>
      </x:c>
      <x:c r="B21" s="8" t="str">
        <x:v>URL</x:v>
      </x:c>
      <x:c r="C21" s="8" t="str">
        <x:v>Zoom valid</x:v>
      </x:c>
      <x:c r="D21" s="8" t="str">
        <x:v>Valid HTTPS Zoom/meeting link</x:v>
      </x:c>
      <x:c r="E21" s="8" t="str">
        <x:v>Zoom creation and participant view</x:v>
      </x:c>
      <x:c r="F21" s="8" t="str">
        <x:v>Approved valid URL</x:v>
      </x:c>
      <x:c r="G21" s="8" t="str">
        <x:v>Check link target</x:v>
      </x:c>
    </x:row>
    <x:row r="22" ht="34" customHeight="1">
      <x:c r="A22" s="8" t="str">
        <x:v>TD-URL-002</x:v>
      </x:c>
      <x:c r="B22" s="8" t="str">
        <x:v>URL</x:v>
      </x:c>
      <x:c r="C22" s="8" t="str">
        <x:v>Zoom invalid</x:v>
      </x:c>
      <x:c r="D22" s="8" t="str">
        <x:v>Malformed or non-URL text</x:v>
      </x:c>
      <x:c r="E22" s="8" t="str">
        <x:v>Zoom validation</x:v>
      </x:c>
      <x:c r="F22" s="8" t="str">
        <x:v>Random text or invalid scheme</x:v>
      </x:c>
      <x:c r="G22" s="8" t="str">
        <x:v>Confirm accepted URL schemes</x:v>
      </x:c>
    </x:row>
    <x:row r="23" ht="34" customHeight="1">
      <x:c r="A23" s="8" t="str">
        <x:v>TD-TEXT-001</x:v>
      </x:c>
      <x:c r="B23" s="8" t="str">
        <x:v>Text</x:v>
      </x:c>
      <x:c r="C23" s="8" t="str">
        <x:v>Security</x:v>
      </x:c>
      <x:c r="D23" s="8" t="str">
        <x:v>Script-like text</x:v>
      </x:c>
      <x:c r="E23" s="8" t="str">
        <x:v>XSS safety</x:v>
      </x:c>
      <x:c r="F23" s="8" t="str">
        <x:v>Encoded script-like strings in title/bio/feedback</x:v>
      </x:c>
      <x:c r="G23" s="8" t="str">
        <x:v>Use only in a test environment</x:v>
      </x:c>
    </x:row>
    <x:row r="24" ht="34" customHeight="1">
      <x:c r="A24" s="8" t="str">
        <x:v>TD-DATA-001</x:v>
      </x:c>
      <x:c r="B24" s="8" t="str">
        <x:v>Data</x:v>
      </x:c>
      <x:c r="C24" s="8" t="str">
        <x:v>Dependencies</x:v>
      </x:c>
      <x:c r="D24" s="8" t="str">
        <x:v>Instructor/course with dependents</x:v>
      </x:c>
      <x:c r="E24" s="8" t="str">
        <x:v>Delete protection</x:v>
      </x:c>
      <x:c r="F24" s="8" t="str">
        <x:v>Instructor/course linked to activity, enrollment or submission</x:v>
      </x:c>
      <x:c r="G24" s="8" t="str">
        <x:v>Expected retention/reassignment policy must be 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6490eb7fec6f4b1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32" hidden="0" customWidth="1"/>
    <x:col min="4" max="4" width="28" hidden="0" customWidth="1"/>
    <x:col min="5" max="5" width="56" hidden="0" customWidth="1"/>
    <x:col min="6" max="6" width="14" hidden="0" customWidth="1"/>
    <x:col min="7" max="7" width="42" hidden="0" customWidth="1"/>
  </x:cols>
  <x:sheetData>
    <x:row r="1" ht="34" customHeight="1">
      <x:c r="A1" s="7" t="str">
        <x:v>Requirement ID</x:v>
      </x:c>
      <x:c r="B1" s="7" t="str">
        <x:v>Requirement / Rule</x:v>
      </x:c>
      <x:c r="C1" s="7" t="str">
        <x:v>Source Document</x:v>
      </x:c>
      <x:c r="D1" s="7" t="str">
        <x:v>Source Scenario</x:v>
      </x:c>
      <x:c r="E1" s="7" t="str">
        <x:v>Covered Test Cases</x:v>
      </x:c>
      <x:c r="F1" s="7" t="str">
        <x:v>Coverage</x:v>
      </x:c>
      <x:c r="G1" s="7" t="str">
        <x:v>Notes</x:v>
      </x:c>
    </x:row>
    <x:row r="2" ht="34" customHeight="1">
      <x:c r="A2" s="8" t="str">
        <x:v>REQ-AUTH-001</x:v>
      </x:c>
      <x:c r="B2" s="8" t="str">
        <x:v>Protected pages require authentication</x:v>
      </x:c>
      <x:c r="C2" s="8" t="str">
        <x:v>261005-Skenario Ujifungsi.docx</x:v>
      </x:c>
      <x:c r="D2" s="8" t="str">
        <x:v>Scenario 1.1</x:v>
      </x:c>
      <x:c r="E2" s="8" t="str">
        <x:v>TC-AUTH-001, TC-AUTH-009, TC-AUTH-010, TC-AUTH-011</x:v>
      </x:c>
      <x:c r="F2" s="8" t="str">
        <x:v>Covered</x:v>
      </x:c>
      <x:c r="G2" s="8" t="str"/>
    </x:row>
    <x:row r="3" ht="34" customHeight="1">
      <x:c r="A3" s="8" t="str">
        <x:v>REQ-AUTH-002</x:v>
      </x:c>
      <x:c r="B3" s="8" t="str">
        <x:v>Valid users are routed to the dashboard permitted for their account type</x:v>
      </x:c>
      <x:c r="C3" s="8" t="str">
        <x:v>261005-Skenario Ujifungsi.docx</x:v>
      </x:c>
      <x:c r="D3" s="8" t="str">
        <x:v>Scenario 1.2</x:v>
      </x:c>
      <x:c r="E3" s="8" t="str">
        <x:v>TC-AUTH-002</x:v>
      </x:c>
      <x:c r="F3" s="8" t="str">
        <x:v>Covered</x:v>
      </x:c>
      <x:c r="G3" s="8" t="str"/>
    </x:row>
    <x:row r="4" ht="34" customHeight="1">
      <x:c r="A4" s="8" t="str">
        <x:v>REQ-AUTH-003</x:v>
      </x:c>
      <x:c r="B4" s="8" t="str">
        <x:v>Invalid credentials and captcha are rejected</x:v>
      </x:c>
      <x:c r="C4" s="8" t="str">
        <x:v>261005-Skenario Ujifungsi.docx</x:v>
      </x:c>
      <x:c r="D4" s="8" t="str">
        <x:v>Scenarios 1.3-1.4</x:v>
      </x:c>
      <x:c r="E4" s="8" t="str">
        <x:v>TC-AUTH-003, TC-AUTH-004, TC-AUTH-005, TC-AUTH-006, TC-AUTH-007, TC-AUTH-008</x:v>
      </x:c>
      <x:c r="F4" s="8" t="str">
        <x:v>Covered</x:v>
      </x:c>
      <x:c r="G4" s="8" t="str"/>
    </x:row>
    <x:row r="5" ht="34" customHeight="1">
      <x:c r="A5" s="8" t="str">
        <x:v>REQ-ACCESS-001</x:v>
      </x:c>
      <x:c r="B5" s="8" t="str">
        <x:v>Catalog is filtered by entitlement/tier</x:v>
      </x:c>
      <x:c r="C5" s="8" t="str">
        <x:v>261005-Skenario Ujifungsi.docx</x:v>
      </x:c>
      <x:c r="D5" s="8" t="str">
        <x:v>Scenario 2.1</x:v>
      </x:c>
      <x:c r="E5" s="8" t="str">
        <x:v>TC-ACCESS-001, TC-ACCESS-002</x:v>
      </x:c>
      <x:c r="F5" s="8" t="str">
        <x:v>Covered</x:v>
      </x:c>
      <x:c r="G5" s="8" t="str">
        <x:v>Define role versus subscription tier</x:v>
      </x:c>
    </x:row>
    <x:row r="6" ht="34" customHeight="1">
      <x:c r="A6" s="8" t="str">
        <x:v>REQ-ACCESS-002</x:v>
      </x:c>
      <x:c r="B6" s="8" t="str">
        <x:v>Direct URL cannot bypass restricted content</x:v>
      </x:c>
      <x:c r="C6" s="8" t="str">
        <x:v>261005-Skenario Ujifungsi.docx</x:v>
      </x:c>
      <x:c r="D6" s="8" t="str">
        <x:v>Scenario 2.2</x:v>
      </x:c>
      <x:c r="E6" s="8" t="str">
        <x:v>TC-ACCESS-003, TC-AUTH-012</x:v>
      </x:c>
      <x:c r="F6" s="8" t="str">
        <x:v>Covered</x:v>
      </x:c>
      <x:c r="G6" s="8" t="str">
        <x:v>Includes backend/resource enforcement</x:v>
      </x:c>
    </x:row>
    <x:row r="7" ht="34" customHeight="1">
      <x:c r="A7" s="8" t="str">
        <x:v>REQ-ACCESS-003</x:v>
      </x:c>
      <x:c r="B7" s="8" t="str">
        <x:v>Eligible participant can enroll and progress is recorded</x:v>
      </x:c>
      <x:c r="C7" s="8" t="str">
        <x:v>261005-Skenario Ujifungsi.docx</x:v>
      </x:c>
      <x:c r="D7" s="8" t="str">
        <x:v>Scenario 2.3</x:v>
      </x:c>
      <x:c r="E7" s="8" t="str">
        <x:v>TC-ACCESS-004, TC-ACCESS-005, TC-ACCESS-007, TC-ACCESS-008, TC-ACCESS-009</x:v>
      </x:c>
      <x:c r="F7" s="8" t="str">
        <x:v>Covered</x:v>
      </x:c>
      <x:c r="G7" s="8" t="str"/>
    </x:row>
    <x:row r="8" ht="34" customHeight="1">
      <x:c r="A8" s="8" t="str">
        <x:v>REQ-ACT-001</x:v>
      </x:c>
      <x:c r="B8" s="8" t="str">
        <x:v>Course shows all required activity types and states</x:v>
      </x:c>
      <x:c r="C8" s="8" t="str">
        <x:v>261005-Skenario Ujifungsi.docx</x:v>
      </x:c>
      <x:c r="D8" s="8" t="str">
        <x:v>Scenario 3.1</x:v>
      </x:c>
      <x:c r="E8" s="8" t="str">
        <x:v>TC-ACT-001, TC-ACT-002</x:v>
      </x:c>
      <x:c r="F8" s="8" t="str">
        <x:v>Covered</x:v>
      </x:c>
      <x:c r="G8" s="8" t="str">
        <x:v>Video activity also added to trainer coverage</x:v>
      </x:c>
    </x:row>
    <x:row r="9" ht="34" customHeight="1">
      <x:c r="A9" s="8" t="str">
        <x:v>REQ-ACT-002</x:v>
      </x:c>
      <x:c r="B9" s="8" t="str">
        <x:v>Quiz/Pre-Test records responses, timing and score</x:v>
      </x:c>
      <x:c r="C9" s="8" t="str">
        <x:v>261005-Skenario Ujifungsi.docx</x:v>
      </x:c>
      <x:c r="D9" s="8" t="str">
        <x:v>Scenario 3.2</x:v>
      </x:c>
      <x:c r="E9" s="8" t="str">
        <x:v>TC-ACT-003, TC-ACT-004, TC-ACT-005, TC-ACT-006, TC-ACT-007, TC-ACT-008, TC-ACT-009, TC-ACT-010, TC-ACT-011</x:v>
      </x:c>
      <x:c r="F9" s="8" t="str">
        <x:v>Covered</x:v>
      </x:c>
      <x:c r="G9" s="8" t="str"/>
    </x:row>
    <x:row r="10" ht="34" customHeight="1">
      <x:c r="A10" s="8" t="str">
        <x:v>REQ-ACT-003</x:v>
      </x:c>
      <x:c r="B10" s="8" t="str">
        <x:v>Participant can access literature, video and Zoom activities</x:v>
      </x:c>
      <x:c r="C10" s="8" t="str">
        <x:v>261005-Skenario Ujifungsi.docx</x:v>
      </x:c>
      <x:c r="D10" s="8" t="str">
        <x:v>Scenario 3.1</x:v>
      </x:c>
      <x:c r="E10" s="8" t="str">
        <x:v>TC-ACT-012, TC-ACT-013, TC-ACT-014, TC-ACT-015, TC-ACT-016</x:v>
      </x:c>
      <x:c r="F10" s="8" t="str">
        <x:v>Covered</x:v>
      </x:c>
      <x:c r="G10" s="8" t="str"/>
    </x:row>
    <x:row r="11" ht="34" customHeight="1">
      <x:c r="A11" s="8" t="str">
        <x:v>REQ-ASG-001</x:v>
      </x:c>
      <x:c r="B11" s="8" t="str">
        <x:v>Participant can submit allowed assignment files</x:v>
      </x:c>
      <x:c r="C11" s="8" t="str">
        <x:v>261005-Skenario Ujifungsi.docx</x:v>
      </x:c>
      <x:c r="D11" s="8" t="str">
        <x:v>Scenario 3.3</x:v>
      </x:c>
      <x:c r="E11" s="8" t="str">
        <x:v>TC-ASG-001, TC-ASG-002, TC-ASG-003, TC-ASG-004, TC-ASG-005, TC-ASG-006, TC-ASG-007, TC-ASG-008, TC-ASG-009, TC-ASG-010</x:v>
      </x:c>
      <x:c r="F11" s="8" t="str">
        <x:v>Covered</x:v>
      </x:c>
      <x:c r="G11" s="8" t="str">
        <x:v>Align extension and size rules across documents</x:v>
      </x:c>
    </x:row>
    <x:row r="12" ht="34" customHeight="1">
      <x:c r="A12" s="8" t="str">
        <x:v>REQ-POST-001</x:v>
      </x:c>
      <x:c r="B12" s="8" t="str">
        <x:v>Post-Test enforces pass threshold and three-attempt rule</x:v>
      </x:c>
      <x:c r="C12" s="8" t="str">
        <x:v>261005-Skenario Ujifungsi.docx</x:v>
      </x:c>
      <x:c r="D12" s="8" t="str">
        <x:v>Scenario 4.1</x:v>
      </x:c>
      <x:c r="E12" s="8" t="str">
        <x:v>TC-POST-001, TC-POST-002, TC-POST-003, TC-POST-004, TC-POST-005, TC-POST-006, TC-POST-007</x:v>
      </x:c>
      <x:c r="F12" s="8" t="str">
        <x:v>Covered</x:v>
      </x:c>
      <x:c r="G12" s="8" t="str">
        <x:v>Approve exact boundary and retry behavior</x:v>
      </x:c>
    </x:row>
    <x:row r="13" ht="34" customHeight="1">
      <x:c r="A13" s="8" t="str">
        <x:v>REQ-POST-002</x:v>
      </x:c>
      <x:c r="B13" s="8" t="str">
        <x:v>Third failed attempt executes a deterministic reset</x:v>
      </x:c>
      <x:c r="C13" s="8" t="str">
        <x:v>261005-Skenario Ujifungsi.docx</x:v>
      </x:c>
      <x:c r="D13" s="8" t="str">
        <x:v>Scenario 4.1</x:v>
      </x:c>
      <x:c r="E13" s="8" t="str">
        <x:v>TC-POST-008, TC-POST-009, TC-POST-010, TC-POST-011, TC-POST-012</x:v>
      </x:c>
      <x:c r="F13" s="8" t="str">
        <x:v>Covered</x:v>
      </x:c>
      <x:c r="G13" s="8" t="str">
        <x:v>Replace alternative wording with one approved policy</x:v>
      </x:c>
    </x:row>
    <x:row r="14" ht="34" customHeight="1">
      <x:c r="A14" s="8" t="str">
        <x:v>REQ-CERT-001</x:v>
      </x:c>
      <x:c r="B14" s="8" t="str">
        <x:v>Eligible user submits evaluation before certificate</x:v>
      </x:c>
      <x:c r="C14" s="8" t="str">
        <x:v>261005-Skenario Ujifungsi.docx</x:v>
      </x:c>
      <x:c r="D14" s="8" t="str">
        <x:v>Scenario 5.1</x:v>
      </x:c>
      <x:c r="E14" s="8" t="str">
        <x:v>TC-CERT-001, TC-CERT-002, TC-CERT-003, TC-CERT-004, TC-CERT-005, TC-CERT-006</x:v>
      </x:c>
      <x:c r="F14" s="8" t="str">
        <x:v>Covered</x:v>
      </x:c>
      <x:c r="G14" s="8" t="str"/>
    </x:row>
    <x:row r="15" ht="34" customHeight="1">
      <x:c r="A15" s="8" t="str">
        <x:v>REQ-CERT-002</x:v>
      </x:c>
      <x:c r="B15" s="8" t="str">
        <x:v>Certificate contains correct data and can be downloaded</x:v>
      </x:c>
      <x:c r="C15" s="8" t="str">
        <x:v>261005-Skenario Ujifungsi.docx</x:v>
      </x:c>
      <x:c r="D15" s="8" t="str">
        <x:v>Scenario 5.2</x:v>
      </x:c>
      <x:c r="E15" s="8" t="str">
        <x:v>TC-CERT-007, TC-CERT-008, TC-CERT-009, TC-CERT-010</x:v>
      </x:c>
      <x:c r="F15" s="8" t="str">
        <x:v>Covered</x:v>
      </x:c>
      <x:c r="G15" s="8" t="str"/>
    </x:row>
    <x:row r="16" ht="34" customHeight="1">
      <x:c r="A16" s="8" t="str">
        <x:v>REQ-TIME-001</x:v>
      </x:c>
      <x:c r="B16" s="8" t="str">
        <x:v>Course displays active period, reminders and expiry</x:v>
      </x:c>
      <x:c r="C16" s="8" t="str">
        <x:v>261005-Skenario Ujifungsi.docx</x:v>
      </x:c>
      <x:c r="D16" s="8" t="str">
        <x:v>Scenarios 6.1-6.2</x:v>
      </x:c>
      <x:c r="E16" s="8" t="str">
        <x:v>TC-TIME-001, TC-TIME-002, TC-TIME-003, TC-TIME-004, TC-TIME-005, TC-TIME-006, TC-TIME-007, TC-TIME-008, TC-TIME-009</x:v>
      </x:c>
      <x:c r="F16" s="8" t="str">
        <x:v>Covered</x:v>
      </x:c>
      <x:c r="G16" s="8" t="str">
        <x:v>Define server timezone and notification channel</x:v>
      </x:c>
    </x:row>
    <x:row r="17" ht="34" customHeight="1">
      <x:c r="A17" s="8" t="str">
        <x:v>REQ-TIME-002</x:v>
      </x:c>
      <x:c r="B17" s="8" t="str">
        <x:v>Expired course can restart according to reset policy</x:v>
      </x:c>
      <x:c r="C17" s="8" t="str">
        <x:v>261005-Skenario Ujifungsi.docx</x:v>
      </x:c>
      <x:c r="D17" s="8" t="str">
        <x:v>Scenario 6.3</x:v>
      </x:c>
      <x:c r="E17" s="8" t="str">
        <x:v>TC-TIME-010, TC-TIME-011, TC-TIME-012</x:v>
      </x:c>
      <x:c r="F17" s="8" t="str">
        <x:v>Covered</x:v>
      </x:c>
      <x:c r="G17" s="8" t="str">
        <x:v>Define retention of prior scores/submissions</x:v>
      </x:c>
    </x:row>
    <x:row r="18" ht="34" customHeight="1">
      <x:c r="A18" s="8" t="str">
        <x:v>REQ-ADMIN-001</x:v>
      </x:c>
      <x:c r="B18" s="8" t="str">
        <x:v>Admin manages instructor records with validation</x:v>
      </x:c>
      <x:c r="C18" s="8" t="str">
        <x:v>261005-Skenario Ujifungsi Admin.docx</x:v>
      </x:c>
      <x:c r="D18" s="8" t="str">
        <x:v>Modul Manajemen Pemateri</x:v>
      </x:c>
      <x:c r="E18" s="8" t="str">
        <x:v>TC-ADMIN-001, TC-ADMIN-002, TC-ADMIN-003, TC-ADMIN-004, TC-ADMIN-005, TC-ADMIN-006, TC-ADMIN-007, TC-ADMIN-008, TC-ADMIN-009, TC-ADMIN-010</x:v>
      </x:c>
      <x:c r="F18" s="8" t="str">
        <x:v>Covered</x:v>
      </x:c>
      <x:c r="G18" s="8" t="str"/>
    </x:row>
    <x:row r="19" ht="34" customHeight="1">
      <x:c r="A19" s="8" t="str">
        <x:v>REQ-ADMIN-002</x:v>
      </x:c>
      <x:c r="B19" s="8" t="str">
        <x:v>Admin monitors courses and success metrics</x:v>
      </x:c>
      <x:c r="C19" s="8" t="str">
        <x:v>261005-Skenario Ujifungsi Admin.docx</x:v>
      </x:c>
      <x:c r="D19" s="8" t="str">
        <x:v>Modul Pengawasan Materi</x:v>
      </x:c>
      <x:c r="E19" s="8" t="str">
        <x:v>TC-ADMIN-011, TC-ADMIN-012, TC-ADMIN-013, TC-ADMIN-014</x:v>
      </x:c>
      <x:c r="F19" s="8" t="str">
        <x:v>Covered</x:v>
      </x:c>
      <x:c r="G19" s="8" t="str">
        <x:v>Define metric denominator and period</x:v>
      </x:c>
    </x:row>
    <x:row r="20" ht="34" customHeight="1">
      <x:c r="A20" s="8" t="str">
        <x:v>REQ-ADMIN-003</x:v>
      </x:c>
      <x:c r="B20" s="8" t="str">
        <x:v>Admin reviews feedback, users and certificates</x:v>
      </x:c>
      <x:c r="C20" s="8" t="str">
        <x:v>261005-Skenario Ujifungsi Admin.docx</x:v>
      </x:c>
      <x:c r="D20" s="8" t="str">
        <x:v>Modul Feedback/User/E-Certificate</x:v>
      </x:c>
      <x:c r="E20" s="8" t="str">
        <x:v>TC-ADMIN-015, TC-ADMIN-016, TC-ADMIN-017, TC-ADMIN-018</x:v>
      </x:c>
      <x:c r="F20" s="8" t="str">
        <x:v>Covered</x:v>
      </x:c>
      <x:c r="G20" s="8" t="str"/>
    </x:row>
    <x:row r="21" ht="34" customHeight="1">
      <x:c r="A21" s="8" t="str">
        <x:v>REQ-TRAINER-001</x:v>
      </x:c>
      <x:c r="B21" s="8" t="str">
        <x:v>Instructor manages own profile</x:v>
      </x:c>
      <x:c r="C21" s="8" t="str">
        <x:v>261005-Skenario Ujifungsi Pemateri.docx</x:v>
      </x:c>
      <x:c r="D21" s="8" t="str">
        <x:v>Modul Pemateri</x:v>
      </x:c>
      <x:c r="E21" s="8" t="str">
        <x:v>TC-TRAINER-001, TC-TRAINER-002, TC-TRAINER-003</x:v>
      </x:c>
      <x:c r="F21" s="8" t="str">
        <x:v>Covered</x:v>
      </x:c>
      <x:c r="G21" s="8" t="str">
        <x:v>Email field must be defined consistently</x:v>
      </x:c>
    </x:row>
    <x:row r="22" ht="34" customHeight="1">
      <x:c r="A22" s="8" t="str">
        <x:v>REQ-TRAINER-002</x:v>
      </x:c>
      <x:c r="B22" s="8" t="str">
        <x:v>Instructor creates and publishes courses</x:v>
      </x:c>
      <x:c r="C22" s="8" t="str">
        <x:v>261005-Skenario Ujifungsi Pemateri.docx</x:v>
      </x:c>
      <x:c r="D22" s="8" t="str">
        <x:v>Modul Manajemen Materi Pelatihan</x:v>
      </x:c>
      <x:c r="E22" s="8" t="str">
        <x:v>TC-TRAINER-004, TC-TRAINER-005, TC-TRAINER-006, TC-TRAINER-007, TC-TRAINER-008, TC-TRAINER-009, TC-TRAINER-010, TC-TRAINER-011</x:v>
      </x:c>
      <x:c r="F22" s="8" t="str">
        <x:v>Covered</x:v>
      </x:c>
      <x:c r="G22" s="8" t="str"/>
    </x:row>
    <x:row r="23" ht="34" customHeight="1">
      <x:c r="A23" s="8" t="str">
        <x:v>REQ-TRAINER-003</x:v>
      </x:c>
      <x:c r="B23" s="8" t="str">
        <x:v>Instructor creates valid Pre/Post Tests</x:v>
      </x:c>
      <x:c r="C23" s="8" t="str">
        <x:v>261005-Skenario Ujifungsi Pemateri.docx</x:v>
      </x:c>
      <x:c r="D23" s="8" t="str">
        <x:v>Aktivitas Pre Test/Post Test</x:v>
      </x:c>
      <x:c r="E23" s="8" t="str">
        <x:v>TC-TRAINER-012, TC-TRAINER-013, TC-TRAINER-014</x:v>
      </x:c>
      <x:c r="F23" s="8" t="str">
        <x:v>Covered</x:v>
      </x:c>
      <x:c r="G23" s="8" t="str"/>
    </x:row>
    <x:row r="24" ht="34" customHeight="1">
      <x:c r="A24" s="8" t="str">
        <x:v>REQ-TRAINER-004</x:v>
      </x:c>
      <x:c r="B24" s="8" t="str">
        <x:v>Instructor uploads valid literature and rejects invalid files</x:v>
      </x:c>
      <x:c r="C24" s="8" t="str">
        <x:v>261005-Skenario Ujifungsi Pemateri.docx</x:v>
      </x:c>
      <x:c r="D24" s="8" t="str">
        <x:v>Aktivitas Literatur</x:v>
      </x:c>
      <x:c r="E24" s="8" t="str">
        <x:v>TC-TRAINER-015, TC-TRAINER-016</x:v>
      </x:c>
      <x:c r="F24" s="8" t="str">
        <x:v>Covered</x:v>
      </x:c>
      <x:c r="G24" s="8" t="str"/>
    </x:row>
    <x:row r="25" ht="34" customHeight="1">
      <x:c r="A25" s="8" t="str">
        <x:v>REQ-TRAINER-005</x:v>
      </x:c>
      <x:c r="B25" s="8" t="str">
        <x:v>Instructor creates video, Zoom and assignment activities</x:v>
      </x:c>
      <x:c r="C25" s="8" t="str">
        <x:v>261005-Skenario Ujifungsi Pemateri.docx</x:v>
      </x:c>
      <x:c r="D25" s="8" t="str">
        <x:v>Aktivitas Interaktif/Tugas</x:v>
      </x:c>
      <x:c r="E25" s="8" t="str">
        <x:v>TC-TRAINER-017, TC-TRAINER-018, TC-TRAINER-019, TC-TRAINER-020, TC-TRAINER-021, TC-TRAINER-022</x:v>
      </x:c>
      <x:c r="F25" s="8" t="str">
        <x:v>Covered</x:v>
      </x:c>
      <x:c r="G25" s="8" t="str">
        <x:v>Video added because it exists in participant curriculum</x:v>
      </x:c>
    </x:row>
    <x:row r="26" ht="34" customHeight="1">
      <x:c r="A26" s="8" t="str">
        <x:v>REQ-QUALITY-001</x:v>
      </x:c>
      <x:c r="B26" s="8" t="str">
        <x:v>Core flows work across supported clients and survive failures</x:v>
      </x:c>
      <x:c r="C26" s="8" t="str">
        <x:v>Derived from all documents</x:v>
      </x:c>
      <x:c r="D26" s="8" t="str">
        <x:v>Cross-cutting recommendations</x:v>
      </x:c>
      <x:c r="E26" s="8" t="str">
        <x:v>TC-QUALITY-001, TC-QUALITY-002, TC-QUALITY-003, TC-QUALITY-004, TC-QUALITY-005, TC-QUALITY-006, TC-QUALITY-007, TC-QUALITY-008</x:v>
      </x:c>
      <x:c r="F26" s="8" t="str">
        <x:v>Covered</x:v>
      </x:c>
      <x:c r="G26" s="8" t="str">
        <x:v>Confirm project NFR baseline before execution</x:v>
      </x:c>
    </x:row>
  </x:sheetData>
  <x:pageMargins left="0.7" right="0.7" top="0.75" bottom="0.75" header="0.3" footer="0.3"/>
  <x:tableParts count="1">
    <x:tablePart xmlns:r="http://schemas.openxmlformats.org/officeDocument/2006/relationships" r:id="R518c78c136014a3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6" hidden="0" customWidth="1"/>
    <x:col min="5" max="5" width="14" hidden="0" customWidth="1"/>
    <x:col min="6" max="6" width="18" hidden="0" customWidth="1"/>
    <x:col min="7" max="7" width="14" hidden="0" customWidth="1"/>
    <x:col min="8" max="8" width="34" hidden="0" customWidth="1"/>
    <x:col min="9" max="9" width="24" hidden="0" customWidth="1"/>
    <x:col min="10" max="10" width="14" hidden="0" customWidth="1"/>
    <x:col min="11" max="11" width="24" hidden="0" customWidth="1"/>
  </x:cols>
  <x:sheetData>
    <x:row r="1" ht="30" customHeight="1">
      <x:c r="A1" s="7" t="str">
        <x:v>Execution ID</x:v>
      </x:c>
      <x:c r="B1" s="7" t="str">
        <x:v>Test Case ID</x:v>
      </x:c>
      <x:c r="C1" s="7" t="str">
        <x:v>Cycle</x:v>
      </x:c>
      <x:c r="D1" s="7" t="str">
        <x:v>Tester</x:v>
      </x:c>
      <x:c r="E1" s="7" t="str">
        <x:v>Execution Date</x:v>
      </x:c>
      <x:c r="F1" s="7" t="str">
        <x:v>Environment</x:v>
      </x:c>
      <x:c r="G1" s="7" t="str">
        <x:v>Status</x:v>
      </x:c>
      <x:c r="H1" s="7" t="str">
        <x:v>Actual Result</x:v>
      </x:c>
      <x:c r="I1" s="7" t="str">
        <x:v>Evidence</x:v>
      </x:c>
      <x:c r="J1" s="7" t="str">
        <x:v>Defect ID</x:v>
      </x:c>
      <x:c r="K1" s="7" t="str">
        <x:v>Notes</x:v>
      </x:c>
    </x:row>
    <x:row r="2" ht="30" customHeight="1">
      <x:c r="A2" s="8" t="str">
        <x:v>EXE-0001</x:v>
      </x:c>
      <x:c r="B2" s="8" t="str">
        <x:v>TC-AUTH-001</x:v>
      </x:c>
      <x:c r="C2" s="8" t="str">
        <x:v>Cycle 1</x:v>
      </x:c>
      <x:c r="D2" s="8" t="str"/>
      <x:c r="E2" s="9" t="str"/>
      <x:c r="F2" s="8" t="str">
        <x:v>UAT</x:v>
      </x:c>
      <x:c r="G2" s="8" t="str">
        <x:v>Not Run</x:v>
      </x:c>
      <x:c r="H2" s="8" t="str"/>
      <x:c r="I2" s="8" t="str"/>
      <x:c r="J2" s="8" t="str"/>
      <x:c r="K2" s="8" t="str"/>
    </x:row>
    <x:row r="3" ht="30" customHeight="1">
      <x:c r="A3" s="8" t="str">
        <x:v>EXE-0002</x:v>
      </x:c>
      <x:c r="B3" s="8" t="str">
        <x:v>TC-AUTH-002</x:v>
      </x:c>
      <x:c r="C3" s="8" t="str">
        <x:v>Cycle 1</x:v>
      </x:c>
      <x:c r="D3" s="8" t="str"/>
      <x:c r="E3" s="9" t="str"/>
      <x:c r="F3" s="8" t="str">
        <x:v>UAT</x:v>
      </x:c>
      <x:c r="G3" s="8" t="str">
        <x:v>Not Run</x:v>
      </x:c>
      <x:c r="H3" s="8" t="str"/>
      <x:c r="I3" s="8" t="str"/>
      <x:c r="J3" s="8" t="str"/>
      <x:c r="K3" s="8" t="str"/>
    </x:row>
    <x:row r="4" ht="30" customHeight="1">
      <x:c r="A4" s="8" t="str">
        <x:v>EXE-0003</x:v>
      </x:c>
      <x:c r="B4" s="8" t="str">
        <x:v>TC-AUTH-003</x:v>
      </x:c>
      <x:c r="C4" s="8" t="str">
        <x:v>Cycle 1</x:v>
      </x:c>
      <x:c r="D4" s="8" t="str"/>
      <x:c r="E4" s="9" t="str"/>
      <x:c r="F4" s="8" t="str">
        <x:v>UAT</x:v>
      </x:c>
      <x:c r="G4" s="8" t="str">
        <x:v>Not Run</x:v>
      </x:c>
      <x:c r="H4" s="8" t="str"/>
      <x:c r="I4" s="8" t="str"/>
      <x:c r="J4" s="8" t="str"/>
      <x:c r="K4" s="8" t="str"/>
    </x:row>
    <x:row r="5" ht="30" customHeight="1">
      <x:c r="A5" s="8" t="str">
        <x:v>EXE-0004</x:v>
      </x:c>
      <x:c r="B5" s="8" t="str">
        <x:v>TC-AUTH-004</x:v>
      </x:c>
      <x:c r="C5" s="8" t="str">
        <x:v>Cycle 1</x:v>
      </x:c>
      <x:c r="D5" s="8" t="str"/>
      <x:c r="E5" s="9" t="str"/>
      <x:c r="F5" s="8" t="str">
        <x:v>UAT</x:v>
      </x:c>
      <x:c r="G5" s="8" t="str">
        <x:v>Not Run</x:v>
      </x:c>
      <x:c r="H5" s="8" t="str"/>
      <x:c r="I5" s="8" t="str"/>
      <x:c r="J5" s="8" t="str"/>
      <x:c r="K5" s="8" t="str"/>
    </x:row>
    <x:row r="6" ht="30" customHeight="1">
      <x:c r="A6" s="8" t="str">
        <x:v>EXE-0005</x:v>
      </x:c>
      <x:c r="B6" s="8" t="str">
        <x:v>TC-AUTH-005</x:v>
      </x:c>
      <x:c r="C6" s="8" t="str">
        <x:v>Cycle 1</x:v>
      </x:c>
      <x:c r="D6" s="8" t="str"/>
      <x:c r="E6" s="9" t="str"/>
      <x:c r="F6" s="8" t="str">
        <x:v>UAT</x:v>
      </x:c>
      <x:c r="G6" s="8" t="str">
        <x:v>Not Run</x:v>
      </x:c>
      <x:c r="H6" s="8" t="str"/>
      <x:c r="I6" s="8" t="str"/>
      <x:c r="J6" s="8" t="str"/>
      <x:c r="K6" s="8" t="str"/>
    </x:row>
    <x:row r="7" ht="30" customHeight="1">
      <x:c r="A7" s="8" t="str">
        <x:v>EXE-0006</x:v>
      </x:c>
      <x:c r="B7" s="8" t="str">
        <x:v>TC-AUTH-006</x:v>
      </x:c>
      <x:c r="C7" s="8" t="str">
        <x:v>Cycle 1</x:v>
      </x:c>
      <x:c r="D7" s="8" t="str"/>
      <x:c r="E7" s="9" t="str"/>
      <x:c r="F7" s="8" t="str">
        <x:v>UAT</x:v>
      </x:c>
      <x:c r="G7" s="8" t="str">
        <x:v>Not Run</x:v>
      </x:c>
      <x:c r="H7" s="8" t="str"/>
      <x:c r="I7" s="8" t="str"/>
      <x:c r="J7" s="8" t="str"/>
      <x:c r="K7" s="8" t="str"/>
    </x:row>
    <x:row r="8" ht="30" customHeight="1">
      <x:c r="A8" s="8" t="str">
        <x:v>EXE-0007</x:v>
      </x:c>
      <x:c r="B8" s="8" t="str">
        <x:v>TC-AUTH-007</x:v>
      </x:c>
      <x:c r="C8" s="8" t="str">
        <x:v>Cycle 1</x:v>
      </x:c>
      <x:c r="D8" s="8" t="str"/>
      <x:c r="E8" s="9" t="str"/>
      <x:c r="F8" s="8" t="str">
        <x:v>UAT</x:v>
      </x:c>
      <x:c r="G8" s="8" t="str">
        <x:v>Not Run</x:v>
      </x:c>
      <x:c r="H8" s="8" t="str"/>
      <x:c r="I8" s="8" t="str"/>
      <x:c r="J8" s="8" t="str"/>
      <x:c r="K8" s="8" t="str"/>
    </x:row>
    <x:row r="9" ht="30" customHeight="1">
      <x:c r="A9" s="8" t="str">
        <x:v>EXE-0008</x:v>
      </x:c>
      <x:c r="B9" s="8" t="str">
        <x:v>TC-AUTH-008</x:v>
      </x:c>
      <x:c r="C9" s="8" t="str">
        <x:v>Cycle 1</x:v>
      </x:c>
      <x:c r="D9" s="8" t="str"/>
      <x:c r="E9" s="9" t="str"/>
      <x:c r="F9" s="8" t="str">
        <x:v>UAT</x:v>
      </x:c>
      <x:c r="G9" s="8" t="str">
        <x:v>Not Run</x:v>
      </x:c>
      <x:c r="H9" s="8" t="str"/>
      <x:c r="I9" s="8" t="str"/>
      <x:c r="J9" s="8" t="str"/>
      <x:c r="K9" s="8" t="str"/>
    </x:row>
    <x:row r="10" ht="30" customHeight="1">
      <x:c r="A10" s="8" t="str">
        <x:v>EXE-0009</x:v>
      </x:c>
      <x:c r="B10" s="8" t="str">
        <x:v>TC-AUTH-009</x:v>
      </x:c>
      <x:c r="C10" s="8" t="str">
        <x:v>Cycle 1</x:v>
      </x:c>
      <x:c r="D10" s="8" t="str"/>
      <x:c r="E10" s="9" t="str"/>
      <x:c r="F10" s="8" t="str">
        <x:v>UAT</x:v>
      </x:c>
      <x:c r="G10" s="8" t="str">
        <x:v>Not Run</x:v>
      </x:c>
      <x:c r="H10" s="8" t="str"/>
      <x:c r="I10" s="8" t="str"/>
      <x:c r="J10" s="8" t="str"/>
      <x:c r="K10" s="8" t="str"/>
    </x:row>
    <x:row r="11" ht="30" customHeight="1">
      <x:c r="A11" s="8" t="str">
        <x:v>EXE-0010</x:v>
      </x:c>
      <x:c r="B11" s="8" t="str">
        <x:v>TC-AUTH-010</x:v>
      </x:c>
      <x:c r="C11" s="8" t="str">
        <x:v>Cycle 1</x:v>
      </x:c>
      <x:c r="D11" s="8" t="str"/>
      <x:c r="E11" s="9" t="str"/>
      <x:c r="F11" s="8" t="str">
        <x:v>UAT</x:v>
      </x:c>
      <x:c r="G11" s="8" t="str">
        <x:v>Not Run</x:v>
      </x:c>
      <x:c r="H11" s="8" t="str"/>
      <x:c r="I11" s="8" t="str"/>
      <x:c r="J11" s="8" t="str"/>
      <x:c r="K11" s="8" t="str"/>
    </x:row>
    <x:row r="12" ht="30" customHeight="1">
      <x:c r="A12" s="8" t="str">
        <x:v>EXE-0011</x:v>
      </x:c>
      <x:c r="B12" s="8" t="str">
        <x:v>TC-AUTH-011</x:v>
      </x:c>
      <x:c r="C12" s="8" t="str">
        <x:v>Cycle 1</x:v>
      </x:c>
      <x:c r="D12" s="8" t="str"/>
      <x:c r="E12" s="9" t="str"/>
      <x:c r="F12" s="8" t="str">
        <x:v>UAT</x:v>
      </x:c>
      <x:c r="G12" s="8" t="str">
        <x:v>Not Run</x:v>
      </x:c>
      <x:c r="H12" s="8" t="str"/>
      <x:c r="I12" s="8" t="str"/>
      <x:c r="J12" s="8" t="str"/>
      <x:c r="K12" s="8" t="str"/>
    </x:row>
    <x:row r="13" ht="30" customHeight="1">
      <x:c r="A13" s="8" t="str">
        <x:v>EXE-0012</x:v>
      </x:c>
      <x:c r="B13" s="8" t="str">
        <x:v>TC-AUTH-012</x:v>
      </x:c>
      <x:c r="C13" s="8" t="str">
        <x:v>Cycle 1</x:v>
      </x:c>
      <x:c r="D13" s="8" t="str"/>
      <x:c r="E13" s="9" t="str"/>
      <x:c r="F13" s="8" t="str">
        <x:v>UAT</x:v>
      </x:c>
      <x:c r="G13" s="8" t="str">
        <x:v>Not Run</x:v>
      </x:c>
      <x:c r="H13" s="8" t="str"/>
      <x:c r="I13" s="8" t="str"/>
      <x:c r="J13" s="8" t="str"/>
      <x:c r="K13" s="8" t="str"/>
    </x:row>
    <x:row r="14" ht="30" customHeight="1">
      <x:c r="A14" s="8" t="str">
        <x:v>EXE-0013</x:v>
      </x:c>
      <x:c r="B14" s="8" t="str">
        <x:v>TC-ACCESS-001</x:v>
      </x:c>
      <x:c r="C14" s="8" t="str">
        <x:v>Cycle 1</x:v>
      </x:c>
      <x:c r="D14" s="8" t="str"/>
      <x:c r="E14" s="9" t="str"/>
      <x:c r="F14" s="8" t="str">
        <x:v>UAT</x:v>
      </x:c>
      <x:c r="G14" s="8" t="str">
        <x:v>Not Run</x:v>
      </x:c>
      <x:c r="H14" s="8" t="str"/>
      <x:c r="I14" s="8" t="str"/>
      <x:c r="J14" s="8" t="str"/>
      <x:c r="K14" s="8" t="str"/>
    </x:row>
    <x:row r="15" ht="30" customHeight="1">
      <x:c r="A15" s="8" t="str">
        <x:v>EXE-0014</x:v>
      </x:c>
      <x:c r="B15" s="8" t="str">
        <x:v>TC-ACCESS-002</x:v>
      </x:c>
      <x:c r="C15" s="8" t="str">
        <x:v>Cycle 1</x:v>
      </x:c>
      <x:c r="D15" s="8" t="str"/>
      <x:c r="E15" s="9" t="str"/>
      <x:c r="F15" s="8" t="str">
        <x:v>UAT</x:v>
      </x:c>
      <x:c r="G15" s="8" t="str">
        <x:v>Not Run</x:v>
      </x:c>
      <x:c r="H15" s="8" t="str"/>
      <x:c r="I15" s="8" t="str"/>
      <x:c r="J15" s="8" t="str"/>
      <x:c r="K15" s="8" t="str"/>
    </x:row>
    <x:row r="16" ht="30" customHeight="1">
      <x:c r="A16" s="8" t="str">
        <x:v>EXE-0015</x:v>
      </x:c>
      <x:c r="B16" s="8" t="str">
        <x:v>TC-ACCESS-003</x:v>
      </x:c>
      <x:c r="C16" s="8" t="str">
        <x:v>Cycle 1</x:v>
      </x:c>
      <x:c r="D16" s="8" t="str"/>
      <x:c r="E16" s="9" t="str"/>
      <x:c r="F16" s="8" t="str">
        <x:v>UAT</x:v>
      </x:c>
      <x:c r="G16" s="8" t="str">
        <x:v>Not Run</x:v>
      </x:c>
      <x:c r="H16" s="8" t="str"/>
      <x:c r="I16" s="8" t="str"/>
      <x:c r="J16" s="8" t="str"/>
      <x:c r="K16" s="8" t="str"/>
    </x:row>
    <x:row r="17" ht="30" customHeight="1">
      <x:c r="A17" s="8" t="str">
        <x:v>EXE-0016</x:v>
      </x:c>
      <x:c r="B17" s="8" t="str">
        <x:v>TC-ACCESS-004</x:v>
      </x:c>
      <x:c r="C17" s="8" t="str">
        <x:v>Cycle 1</x:v>
      </x:c>
      <x:c r="D17" s="8" t="str"/>
      <x:c r="E17" s="9" t="str"/>
      <x:c r="F17" s="8" t="str">
        <x:v>UAT</x:v>
      </x:c>
      <x:c r="G17" s="8" t="str">
        <x:v>Not Run</x:v>
      </x:c>
      <x:c r="H17" s="8" t="str"/>
      <x:c r="I17" s="8" t="str"/>
      <x:c r="J17" s="8" t="str"/>
      <x:c r="K17" s="8" t="str"/>
    </x:row>
    <x:row r="18" ht="30" customHeight="1">
      <x:c r="A18" s="8" t="str">
        <x:v>EXE-0017</x:v>
      </x:c>
      <x:c r="B18" s="8" t="str">
        <x:v>TC-ACCESS-005</x:v>
      </x:c>
      <x:c r="C18" s="8" t="str">
        <x:v>Cycle 1</x:v>
      </x:c>
      <x:c r="D18" s="8" t="str"/>
      <x:c r="E18" s="9" t="str"/>
      <x:c r="F18" s="8" t="str">
        <x:v>UAT</x:v>
      </x:c>
      <x:c r="G18" s="8" t="str">
        <x:v>Not Run</x:v>
      </x:c>
      <x:c r="H18" s="8" t="str"/>
      <x:c r="I18" s="8" t="str"/>
      <x:c r="J18" s="8" t="str"/>
      <x:c r="K18" s="8" t="str"/>
    </x:row>
    <x:row r="19" ht="30" customHeight="1">
      <x:c r="A19" s="8" t="str">
        <x:v>EXE-0018</x:v>
      </x:c>
      <x:c r="B19" s="8" t="str">
        <x:v>TC-ACCESS-006</x:v>
      </x:c>
      <x:c r="C19" s="8" t="str">
        <x:v>Cycle 1</x:v>
      </x:c>
      <x:c r="D19" s="8" t="str"/>
      <x:c r="E19" s="9" t="str"/>
      <x:c r="F19" s="8" t="str">
        <x:v>UAT</x:v>
      </x:c>
      <x:c r="G19" s="8" t="str">
        <x:v>Not Run</x:v>
      </x:c>
      <x:c r="H19" s="8" t="str"/>
      <x:c r="I19" s="8" t="str"/>
      <x:c r="J19" s="8" t="str"/>
      <x:c r="K19" s="8" t="str"/>
    </x:row>
    <x:row r="20" ht="30" customHeight="1">
      <x:c r="A20" s="8" t="str">
        <x:v>EXE-0019</x:v>
      </x:c>
      <x:c r="B20" s="8" t="str">
        <x:v>TC-ACCESS-007</x:v>
      </x:c>
      <x:c r="C20" s="8" t="str">
        <x:v>Cycle 1</x:v>
      </x:c>
      <x:c r="D20" s="8" t="str"/>
      <x:c r="E20" s="9" t="str"/>
      <x:c r="F20" s="8" t="str">
        <x:v>UAT</x:v>
      </x:c>
      <x:c r="G20" s="8" t="str">
        <x:v>Not Run</x:v>
      </x:c>
      <x:c r="H20" s="8" t="str"/>
      <x:c r="I20" s="8" t="str"/>
      <x:c r="J20" s="8" t="str"/>
      <x:c r="K20" s="8" t="str"/>
    </x:row>
    <x:row r="21" ht="30" customHeight="1">
      <x:c r="A21" s="8" t="str">
        <x:v>EXE-0020</x:v>
      </x:c>
      <x:c r="B21" s="8" t="str">
        <x:v>TC-ACCESS-008</x:v>
      </x:c>
      <x:c r="C21" s="8" t="str">
        <x:v>Cycle 1</x:v>
      </x:c>
      <x:c r="D21" s="8" t="str"/>
      <x:c r="E21" s="9" t="str"/>
      <x:c r="F21" s="8" t="str">
        <x:v>UAT</x:v>
      </x:c>
      <x:c r="G21" s="8" t="str">
        <x:v>Not Run</x:v>
      </x:c>
      <x:c r="H21" s="8" t="str"/>
      <x:c r="I21" s="8" t="str"/>
      <x:c r="J21" s="8" t="str"/>
      <x:c r="K21" s="8" t="str"/>
    </x:row>
    <x:row r="22" ht="30" customHeight="1">
      <x:c r="A22" s="8" t="str">
        <x:v>EXE-0021</x:v>
      </x:c>
      <x:c r="B22" s="8" t="str">
        <x:v>TC-ACCESS-009</x:v>
      </x:c>
      <x:c r="C22" s="8" t="str">
        <x:v>Cycle 1</x:v>
      </x:c>
      <x:c r="D22" s="8" t="str"/>
      <x:c r="E22" s="9" t="str"/>
      <x:c r="F22" s="8" t="str">
        <x:v>UAT</x:v>
      </x:c>
      <x:c r="G22" s="8" t="str">
        <x:v>Not Run</x:v>
      </x:c>
      <x:c r="H22" s="8" t="str"/>
      <x:c r="I22" s="8" t="str"/>
      <x:c r="J22" s="8" t="str"/>
      <x:c r="K22" s="8" t="str"/>
    </x:row>
    <x:row r="23" ht="30" customHeight="1">
      <x:c r="A23" s="8" t="str">
        <x:v>EXE-0022</x:v>
      </x:c>
      <x:c r="B23" s="8" t="str">
        <x:v>TC-ACCESS-010</x:v>
      </x:c>
      <x:c r="C23" s="8" t="str">
        <x:v>Cycle 1</x:v>
      </x:c>
      <x:c r="D23" s="8" t="str"/>
      <x:c r="E23" s="9" t="str"/>
      <x:c r="F23" s="8" t="str">
        <x:v>UAT</x:v>
      </x:c>
      <x:c r="G23" s="8" t="str">
        <x:v>Not Run</x:v>
      </x:c>
      <x:c r="H23" s="8" t="str"/>
      <x:c r="I23" s="8" t="str"/>
      <x:c r="J23" s="8" t="str"/>
      <x:c r="K23" s="8" t="str"/>
    </x:row>
    <x:row r="24" ht="30" customHeight="1">
      <x:c r="A24" s="8" t="str">
        <x:v>EXE-0023</x:v>
      </x:c>
      <x:c r="B24" s="8" t="str">
        <x:v>TC-ACT-001</x:v>
      </x:c>
      <x:c r="C24" s="8" t="str">
        <x:v>Cycle 1</x:v>
      </x:c>
      <x:c r="D24" s="8" t="str"/>
      <x:c r="E24" s="9" t="str"/>
      <x:c r="F24" s="8" t="str">
        <x:v>UAT</x:v>
      </x:c>
      <x:c r="G24" s="8" t="str">
        <x:v>Not Run</x:v>
      </x:c>
      <x:c r="H24" s="8" t="str"/>
      <x:c r="I24" s="8" t="str"/>
      <x:c r="J24" s="8" t="str"/>
      <x:c r="K24" s="8" t="str"/>
    </x:row>
    <x:row r="25" ht="30" customHeight="1">
      <x:c r="A25" s="8" t="str">
        <x:v>EXE-0024</x:v>
      </x:c>
      <x:c r="B25" s="8" t="str">
        <x:v>TC-ACT-002</x:v>
      </x:c>
      <x:c r="C25" s="8" t="str">
        <x:v>Cycle 1</x:v>
      </x:c>
      <x:c r="D25" s="8" t="str"/>
      <x:c r="E25" s="9" t="str"/>
      <x:c r="F25" s="8" t="str">
        <x:v>UAT</x:v>
      </x:c>
      <x:c r="G25" s="8" t="str">
        <x:v>Not Run</x:v>
      </x:c>
      <x:c r="H25" s="8" t="str"/>
      <x:c r="I25" s="8" t="str"/>
      <x:c r="J25" s="8" t="str"/>
      <x:c r="K25" s="8" t="str"/>
    </x:row>
    <x:row r="26" ht="30" customHeight="1">
      <x:c r="A26" s="8" t="str">
        <x:v>EXE-0025</x:v>
      </x:c>
      <x:c r="B26" s="8" t="str">
        <x:v>TC-ACT-003</x:v>
      </x:c>
      <x:c r="C26" s="8" t="str">
        <x:v>Cycle 1</x:v>
      </x:c>
      <x:c r="D26" s="8" t="str"/>
      <x:c r="E26" s="9" t="str"/>
      <x:c r="F26" s="8" t="str">
        <x:v>UAT</x:v>
      </x:c>
      <x:c r="G26" s="8" t="str">
        <x:v>Not Run</x:v>
      </x:c>
      <x:c r="H26" s="8" t="str"/>
      <x:c r="I26" s="8" t="str"/>
      <x:c r="J26" s="8" t="str"/>
      <x:c r="K26" s="8" t="str"/>
    </x:row>
    <x:row r="27" ht="30" customHeight="1">
      <x:c r="A27" s="8" t="str">
        <x:v>EXE-0026</x:v>
      </x:c>
      <x:c r="B27" s="8" t="str">
        <x:v>TC-ACT-004</x:v>
      </x:c>
      <x:c r="C27" s="8" t="str">
        <x:v>Cycle 1</x:v>
      </x:c>
      <x:c r="D27" s="8" t="str"/>
      <x:c r="E27" s="9" t="str"/>
      <x:c r="F27" s="8" t="str">
        <x:v>UAT</x:v>
      </x:c>
      <x:c r="G27" s="8" t="str">
        <x:v>Not Run</x:v>
      </x:c>
      <x:c r="H27" s="8" t="str"/>
      <x:c r="I27" s="8" t="str"/>
      <x:c r="J27" s="8" t="str"/>
      <x:c r="K27" s="8" t="str"/>
    </x:row>
    <x:row r="28" ht="30" customHeight="1">
      <x:c r="A28" s="8" t="str">
        <x:v>EXE-0027</x:v>
      </x:c>
      <x:c r="B28" s="8" t="str">
        <x:v>TC-ACT-005</x:v>
      </x:c>
      <x:c r="C28" s="8" t="str">
        <x:v>Cycle 1</x:v>
      </x:c>
      <x:c r="D28" s="8" t="str"/>
      <x:c r="E28" s="9" t="str"/>
      <x:c r="F28" s="8" t="str">
        <x:v>UAT</x:v>
      </x:c>
      <x:c r="G28" s="8" t="str">
        <x:v>Not Run</x:v>
      </x:c>
      <x:c r="H28" s="8" t="str"/>
      <x:c r="I28" s="8" t="str"/>
      <x:c r="J28" s="8" t="str"/>
      <x:c r="K28" s="8" t="str"/>
    </x:row>
    <x:row r="29" ht="30" customHeight="1">
      <x:c r="A29" s="8" t="str">
        <x:v>EXE-0028</x:v>
      </x:c>
      <x:c r="B29" s="8" t="str">
        <x:v>TC-ACT-006</x:v>
      </x:c>
      <x:c r="C29" s="8" t="str">
        <x:v>Cycle 1</x:v>
      </x:c>
      <x:c r="D29" s="8" t="str"/>
      <x:c r="E29" s="9" t="str"/>
      <x:c r="F29" s="8" t="str">
        <x:v>UAT</x:v>
      </x:c>
      <x:c r="G29" s="8" t="str">
        <x:v>Not Run</x:v>
      </x:c>
      <x:c r="H29" s="8" t="str"/>
      <x:c r="I29" s="8" t="str"/>
      <x:c r="J29" s="8" t="str"/>
      <x:c r="K29" s="8" t="str"/>
    </x:row>
    <x:row r="30" ht="30" customHeight="1">
      <x:c r="A30" s="8" t="str">
        <x:v>EXE-0029</x:v>
      </x:c>
      <x:c r="B30" s="8" t="str">
        <x:v>TC-ACT-007</x:v>
      </x:c>
      <x:c r="C30" s="8" t="str">
        <x:v>Cycle 1</x:v>
      </x:c>
      <x:c r="D30" s="8" t="str"/>
      <x:c r="E30" s="9" t="str"/>
      <x:c r="F30" s="8" t="str">
        <x:v>UAT</x:v>
      </x:c>
      <x:c r="G30" s="8" t="str">
        <x:v>Not Run</x:v>
      </x:c>
      <x:c r="H30" s="8" t="str"/>
      <x:c r="I30" s="8" t="str"/>
      <x:c r="J30" s="8" t="str"/>
      <x:c r="K30" s="8" t="str"/>
    </x:row>
    <x:row r="31" ht="30" customHeight="1">
      <x:c r="A31" s="8" t="str">
        <x:v>EXE-0030</x:v>
      </x:c>
      <x:c r="B31" s="8" t="str">
        <x:v>TC-ACT-008</x:v>
      </x:c>
      <x:c r="C31" s="8" t="str">
        <x:v>Cycle 1</x:v>
      </x:c>
      <x:c r="D31" s="8" t="str"/>
      <x:c r="E31" s="9" t="str"/>
      <x:c r="F31" s="8" t="str">
        <x:v>UAT</x:v>
      </x:c>
      <x:c r="G31" s="8" t="str">
        <x:v>Not Run</x:v>
      </x:c>
      <x:c r="H31" s="8" t="str"/>
      <x:c r="I31" s="8" t="str"/>
      <x:c r="J31" s="8" t="str"/>
      <x:c r="K31" s="8" t="str"/>
    </x:row>
    <x:row r="32" ht="30" customHeight="1">
      <x:c r="A32" s="8" t="str">
        <x:v>EXE-0031</x:v>
      </x:c>
      <x:c r="B32" s="8" t="str">
        <x:v>TC-ACT-009</x:v>
      </x:c>
      <x:c r="C32" s="8" t="str">
        <x:v>Cycle 1</x:v>
      </x:c>
      <x:c r="D32" s="8" t="str"/>
      <x:c r="E32" s="9" t="str"/>
      <x:c r="F32" s="8" t="str">
        <x:v>UAT</x:v>
      </x:c>
      <x:c r="G32" s="8" t="str">
        <x:v>Not Run</x:v>
      </x:c>
      <x:c r="H32" s="8" t="str"/>
      <x:c r="I32" s="8" t="str"/>
      <x:c r="J32" s="8" t="str"/>
      <x:c r="K32" s="8" t="str"/>
    </x:row>
    <x:row r="33" ht="30" customHeight="1">
      <x:c r="A33" s="8" t="str">
        <x:v>EXE-0032</x:v>
      </x:c>
      <x:c r="B33" s="8" t="str">
        <x:v>TC-ACT-010</x:v>
      </x:c>
      <x:c r="C33" s="8" t="str">
        <x:v>Cycle 1</x:v>
      </x:c>
      <x:c r="D33" s="8" t="str"/>
      <x:c r="E33" s="9" t="str"/>
      <x:c r="F33" s="8" t="str">
        <x:v>UAT</x:v>
      </x:c>
      <x:c r="G33" s="8" t="str">
        <x:v>Not Run</x:v>
      </x:c>
      <x:c r="H33" s="8" t="str"/>
      <x:c r="I33" s="8" t="str"/>
      <x:c r="J33" s="8" t="str"/>
      <x:c r="K33" s="8" t="str"/>
    </x:row>
    <x:row r="34" ht="30" customHeight="1">
      <x:c r="A34" s="8" t="str">
        <x:v>EXE-0033</x:v>
      </x:c>
      <x:c r="B34" s="8" t="str">
        <x:v>TC-ACT-011</x:v>
      </x:c>
      <x:c r="C34" s="8" t="str">
        <x:v>Cycle 1</x:v>
      </x:c>
      <x:c r="D34" s="8" t="str"/>
      <x:c r="E34" s="9" t="str"/>
      <x:c r="F34" s="8" t="str">
        <x:v>UAT</x:v>
      </x:c>
      <x:c r="G34" s="8" t="str">
        <x:v>Not Run</x:v>
      </x:c>
      <x:c r="H34" s="8" t="str"/>
      <x:c r="I34" s="8" t="str"/>
      <x:c r="J34" s="8" t="str"/>
      <x:c r="K34" s="8" t="str"/>
    </x:row>
    <x:row r="35" ht="30" customHeight="1">
      <x:c r="A35" s="8" t="str">
        <x:v>EXE-0034</x:v>
      </x:c>
      <x:c r="B35" s="8" t="str">
        <x:v>TC-ACT-012</x:v>
      </x:c>
      <x:c r="C35" s="8" t="str">
        <x:v>Cycle 1</x:v>
      </x:c>
      <x:c r="D35" s="8" t="str"/>
      <x:c r="E35" s="9" t="str"/>
      <x:c r="F35" s="8" t="str">
        <x:v>UAT</x:v>
      </x:c>
      <x:c r="G35" s="8" t="str">
        <x:v>Not Run</x:v>
      </x:c>
      <x:c r="H35" s="8" t="str"/>
      <x:c r="I35" s="8" t="str"/>
      <x:c r="J35" s="8" t="str"/>
      <x:c r="K35" s="8" t="str"/>
    </x:row>
    <x:row r="36" ht="30" customHeight="1">
      <x:c r="A36" s="8" t="str">
        <x:v>EXE-0035</x:v>
      </x:c>
      <x:c r="B36" s="8" t="str">
        <x:v>TC-ACT-013</x:v>
      </x:c>
      <x:c r="C36" s="8" t="str">
        <x:v>Cycle 1</x:v>
      </x:c>
      <x:c r="D36" s="8" t="str"/>
      <x:c r="E36" s="9" t="str"/>
      <x:c r="F36" s="8" t="str">
        <x:v>UAT</x:v>
      </x:c>
      <x:c r="G36" s="8" t="str">
        <x:v>Not Run</x:v>
      </x:c>
      <x:c r="H36" s="8" t="str"/>
      <x:c r="I36" s="8" t="str"/>
      <x:c r="J36" s="8" t="str"/>
      <x:c r="K36" s="8" t="str"/>
    </x:row>
    <x:row r="37" ht="30" customHeight="1">
      <x:c r="A37" s="8" t="str">
        <x:v>EXE-0036</x:v>
      </x:c>
      <x:c r="B37" s="8" t="str">
        <x:v>TC-ACT-014</x:v>
      </x:c>
      <x:c r="C37" s="8" t="str">
        <x:v>Cycle 1</x:v>
      </x:c>
      <x:c r="D37" s="8" t="str"/>
      <x:c r="E37" s="9" t="str"/>
      <x:c r="F37" s="8" t="str">
        <x:v>UAT</x:v>
      </x:c>
      <x:c r="G37" s="8" t="str">
        <x:v>Not Run</x:v>
      </x:c>
      <x:c r="H37" s="8" t="str"/>
      <x:c r="I37" s="8" t="str"/>
      <x:c r="J37" s="8" t="str"/>
      <x:c r="K37" s="8" t="str"/>
    </x:row>
    <x:row r="38" ht="30" customHeight="1">
      <x:c r="A38" s="8" t="str">
        <x:v>EXE-0037</x:v>
      </x:c>
      <x:c r="B38" s="8" t="str">
        <x:v>TC-ACT-015</x:v>
      </x:c>
      <x:c r="C38" s="8" t="str">
        <x:v>Cycle 1</x:v>
      </x:c>
      <x:c r="D38" s="8" t="str"/>
      <x:c r="E38" s="9" t="str"/>
      <x:c r="F38" s="8" t="str">
        <x:v>UAT</x:v>
      </x:c>
      <x:c r="G38" s="8" t="str">
        <x:v>Not Run</x:v>
      </x:c>
      <x:c r="H38" s="8" t="str"/>
      <x:c r="I38" s="8" t="str"/>
      <x:c r="J38" s="8" t="str"/>
      <x:c r="K38" s="8" t="str"/>
    </x:row>
    <x:row r="39" ht="30" customHeight="1">
      <x:c r="A39" s="8" t="str">
        <x:v>EXE-0038</x:v>
      </x:c>
      <x:c r="B39" s="8" t="str">
        <x:v>TC-ACT-016</x:v>
      </x:c>
      <x:c r="C39" s="8" t="str">
        <x:v>Cycle 1</x:v>
      </x:c>
      <x:c r="D39" s="8" t="str"/>
      <x:c r="E39" s="9" t="str"/>
      <x:c r="F39" s="8" t="str">
        <x:v>UAT</x:v>
      </x:c>
      <x:c r="G39" s="8" t="str">
        <x:v>Not Run</x:v>
      </x:c>
      <x:c r="H39" s="8" t="str"/>
      <x:c r="I39" s="8" t="str"/>
      <x:c r="J39" s="8" t="str"/>
      <x:c r="K39" s="8" t="str"/>
    </x:row>
    <x:row r="40" ht="30" customHeight="1">
      <x:c r="A40" s="8" t="str">
        <x:v>EXE-0039</x:v>
      </x:c>
      <x:c r="B40" s="8" t="str">
        <x:v>TC-ACT-017</x:v>
      </x:c>
      <x:c r="C40" s="8" t="str">
        <x:v>Cycle 1</x:v>
      </x:c>
      <x:c r="D40" s="8" t="str"/>
      <x:c r="E40" s="9" t="str"/>
      <x:c r="F40" s="8" t="str">
        <x:v>UAT</x:v>
      </x:c>
      <x:c r="G40" s="8" t="str">
        <x:v>Not Run</x:v>
      </x:c>
      <x:c r="H40" s="8" t="str"/>
      <x:c r="I40" s="8" t="str"/>
      <x:c r="J40" s="8" t="str"/>
      <x:c r="K40" s="8" t="str"/>
    </x:row>
    <x:row r="41" ht="30" customHeight="1">
      <x:c r="A41" s="8" t="str">
        <x:v>EXE-0040</x:v>
      </x:c>
      <x:c r="B41" s="8" t="str">
        <x:v>TC-ACT-018</x:v>
      </x:c>
      <x:c r="C41" s="8" t="str">
        <x:v>Cycle 1</x:v>
      </x:c>
      <x:c r="D41" s="8" t="str"/>
      <x:c r="E41" s="9" t="str"/>
      <x:c r="F41" s="8" t="str">
        <x:v>UAT</x:v>
      </x:c>
      <x:c r="G41" s="8" t="str">
        <x:v>Not Run</x:v>
      </x:c>
      <x:c r="H41" s="8" t="str"/>
      <x:c r="I41" s="8" t="str"/>
      <x:c r="J41" s="8" t="str"/>
      <x:c r="K41" s="8" t="str"/>
    </x:row>
    <x:row r="42" ht="30" customHeight="1">
      <x:c r="A42" s="8" t="str">
        <x:v>EXE-0041</x:v>
      </x:c>
      <x:c r="B42" s="8" t="str">
        <x:v>TC-ASG-001</x:v>
      </x:c>
      <x:c r="C42" s="8" t="str">
        <x:v>Cycle 1</x:v>
      </x:c>
      <x:c r="D42" s="8" t="str"/>
      <x:c r="E42" s="9" t="str"/>
      <x:c r="F42" s="8" t="str">
        <x:v>UAT</x:v>
      </x:c>
      <x:c r="G42" s="8" t="str">
        <x:v>Not Run</x:v>
      </x:c>
      <x:c r="H42" s="8" t="str"/>
      <x:c r="I42" s="8" t="str"/>
      <x:c r="J42" s="8" t="str"/>
      <x:c r="K42" s="8" t="str"/>
    </x:row>
    <x:row r="43" ht="30" customHeight="1">
      <x:c r="A43" s="8" t="str">
        <x:v>EXE-0042</x:v>
      </x:c>
      <x:c r="B43" s="8" t="str">
        <x:v>TC-ASG-002</x:v>
      </x:c>
      <x:c r="C43" s="8" t="str">
        <x:v>Cycle 1</x:v>
      </x:c>
      <x:c r="D43" s="8" t="str"/>
      <x:c r="E43" s="9" t="str"/>
      <x:c r="F43" s="8" t="str">
        <x:v>UAT</x:v>
      </x:c>
      <x:c r="G43" s="8" t="str">
        <x:v>Not Run</x:v>
      </x:c>
      <x:c r="H43" s="8" t="str"/>
      <x:c r="I43" s="8" t="str"/>
      <x:c r="J43" s="8" t="str"/>
      <x:c r="K43" s="8" t="str"/>
    </x:row>
    <x:row r="44" ht="30" customHeight="1">
      <x:c r="A44" s="8" t="str">
        <x:v>EXE-0043</x:v>
      </x:c>
      <x:c r="B44" s="8" t="str">
        <x:v>TC-ASG-003</x:v>
      </x:c>
      <x:c r="C44" s="8" t="str">
        <x:v>Cycle 1</x:v>
      </x:c>
      <x:c r="D44" s="8" t="str"/>
      <x:c r="E44" s="9" t="str"/>
      <x:c r="F44" s="8" t="str">
        <x:v>UAT</x:v>
      </x:c>
      <x:c r="G44" s="8" t="str">
        <x:v>Not Run</x:v>
      </x:c>
      <x:c r="H44" s="8" t="str"/>
      <x:c r="I44" s="8" t="str"/>
      <x:c r="J44" s="8" t="str"/>
      <x:c r="K44" s="8" t="str"/>
    </x:row>
    <x:row r="45" ht="30" customHeight="1">
      <x:c r="A45" s="8" t="str">
        <x:v>EXE-0044</x:v>
      </x:c>
      <x:c r="B45" s="8" t="str">
        <x:v>TC-ASG-004</x:v>
      </x:c>
      <x:c r="C45" s="8" t="str">
        <x:v>Cycle 1</x:v>
      </x:c>
      <x:c r="D45" s="8" t="str"/>
      <x:c r="E45" s="9" t="str"/>
      <x:c r="F45" s="8" t="str">
        <x:v>UAT</x:v>
      </x:c>
      <x:c r="G45" s="8" t="str">
        <x:v>Not Run</x:v>
      </x:c>
      <x:c r="H45" s="8" t="str"/>
      <x:c r="I45" s="8" t="str"/>
      <x:c r="J45" s="8" t="str"/>
      <x:c r="K45" s="8" t="str"/>
    </x:row>
    <x:row r="46" ht="30" customHeight="1">
      <x:c r="A46" s="8" t="str">
        <x:v>EXE-0045</x:v>
      </x:c>
      <x:c r="B46" s="8" t="str">
        <x:v>TC-ASG-005</x:v>
      </x:c>
      <x:c r="C46" s="8" t="str">
        <x:v>Cycle 1</x:v>
      </x:c>
      <x:c r="D46" s="8" t="str"/>
      <x:c r="E46" s="9" t="str"/>
      <x:c r="F46" s="8" t="str">
        <x:v>UAT</x:v>
      </x:c>
      <x:c r="G46" s="8" t="str">
        <x:v>Not Run</x:v>
      </x:c>
      <x:c r="H46" s="8" t="str"/>
      <x:c r="I46" s="8" t="str"/>
      <x:c r="J46" s="8" t="str"/>
      <x:c r="K46" s="8" t="str"/>
    </x:row>
    <x:row r="47" ht="30" customHeight="1">
      <x:c r="A47" s="8" t="str">
        <x:v>EXE-0046</x:v>
      </x:c>
      <x:c r="B47" s="8" t="str">
        <x:v>TC-ASG-006</x:v>
      </x:c>
      <x:c r="C47" s="8" t="str">
        <x:v>Cycle 1</x:v>
      </x:c>
      <x:c r="D47" s="8" t="str"/>
      <x:c r="E47" s="9" t="str"/>
      <x:c r="F47" s="8" t="str">
        <x:v>UAT</x:v>
      </x:c>
      <x:c r="G47" s="8" t="str">
        <x:v>Not Run</x:v>
      </x:c>
      <x:c r="H47" s="8" t="str"/>
      <x:c r="I47" s="8" t="str"/>
      <x:c r="J47" s="8" t="str"/>
      <x:c r="K47" s="8" t="str"/>
    </x:row>
    <x:row r="48" ht="30" customHeight="1">
      <x:c r="A48" s="8" t="str">
        <x:v>EXE-0047</x:v>
      </x:c>
      <x:c r="B48" s="8" t="str">
        <x:v>TC-ASG-007</x:v>
      </x:c>
      <x:c r="C48" s="8" t="str">
        <x:v>Cycle 1</x:v>
      </x:c>
      <x:c r="D48" s="8" t="str"/>
      <x:c r="E48" s="9" t="str"/>
      <x:c r="F48" s="8" t="str">
        <x:v>UAT</x:v>
      </x:c>
      <x:c r="G48" s="8" t="str">
        <x:v>Not Run</x:v>
      </x:c>
      <x:c r="H48" s="8" t="str"/>
      <x:c r="I48" s="8" t="str"/>
      <x:c r="J48" s="8" t="str"/>
      <x:c r="K48" s="8" t="str"/>
    </x:row>
    <x:row r="49" ht="30" customHeight="1">
      <x:c r="A49" s="8" t="str">
        <x:v>EXE-0048</x:v>
      </x:c>
      <x:c r="B49" s="8" t="str">
        <x:v>TC-ASG-008</x:v>
      </x:c>
      <x:c r="C49" s="8" t="str">
        <x:v>Cycle 1</x:v>
      </x:c>
      <x:c r="D49" s="8" t="str"/>
      <x:c r="E49" s="9" t="str"/>
      <x:c r="F49" s="8" t="str">
        <x:v>UAT</x:v>
      </x:c>
      <x:c r="G49" s="8" t="str">
        <x:v>Not Run</x:v>
      </x:c>
      <x:c r="H49" s="8" t="str"/>
      <x:c r="I49" s="8" t="str"/>
      <x:c r="J49" s="8" t="str"/>
      <x:c r="K49" s="8" t="str"/>
    </x:row>
    <x:row r="50" ht="30" customHeight="1">
      <x:c r="A50" s="8" t="str">
        <x:v>EXE-0049</x:v>
      </x:c>
      <x:c r="B50" s="8" t="str">
        <x:v>TC-ASG-009</x:v>
      </x:c>
      <x:c r="C50" s="8" t="str">
        <x:v>Cycle 1</x:v>
      </x:c>
      <x:c r="D50" s="8" t="str"/>
      <x:c r="E50" s="9" t="str"/>
      <x:c r="F50" s="8" t="str">
        <x:v>UAT</x:v>
      </x:c>
      <x:c r="G50" s="8" t="str">
        <x:v>Not Run</x:v>
      </x:c>
      <x:c r="H50" s="8" t="str"/>
      <x:c r="I50" s="8" t="str"/>
      <x:c r="J50" s="8" t="str"/>
      <x:c r="K50" s="8" t="str"/>
    </x:row>
    <x:row r="51" ht="30" customHeight="1">
      <x:c r="A51" s="8" t="str">
        <x:v>EXE-0050</x:v>
      </x:c>
      <x:c r="B51" s="8" t="str">
        <x:v>TC-ASG-010</x:v>
      </x:c>
      <x:c r="C51" s="8" t="str">
        <x:v>Cycle 1</x:v>
      </x:c>
      <x:c r="D51" s="8" t="str"/>
      <x:c r="E51" s="9" t="str"/>
      <x:c r="F51" s="8" t="str">
        <x:v>UAT</x:v>
      </x:c>
      <x:c r="G51" s="8" t="str">
        <x:v>Not Run</x:v>
      </x:c>
      <x:c r="H51" s="8" t="str"/>
      <x:c r="I51" s="8" t="str"/>
      <x:c r="J51" s="8" t="str"/>
      <x:c r="K51" s="8" t="str"/>
    </x:row>
    <x:row r="52" ht="30" customHeight="1">
      <x:c r="A52" s="8" t="str">
        <x:v>EXE-0051</x:v>
      </x:c>
      <x:c r="B52" s="8" t="str">
        <x:v>TC-POST-001</x:v>
      </x:c>
      <x:c r="C52" s="8" t="str">
        <x:v>Cycle 1</x:v>
      </x:c>
      <x:c r="D52" s="8" t="str"/>
      <x:c r="E52" s="9" t="str"/>
      <x:c r="F52" s="8" t="str">
        <x:v>UAT</x:v>
      </x:c>
      <x:c r="G52" s="8" t="str">
        <x:v>Not Run</x:v>
      </x:c>
      <x:c r="H52" s="8" t="str"/>
      <x:c r="I52" s="8" t="str"/>
      <x:c r="J52" s="8" t="str"/>
      <x:c r="K52" s="8" t="str"/>
    </x:row>
    <x:row r="53" ht="30" customHeight="1">
      <x:c r="A53" s="8" t="str">
        <x:v>EXE-0052</x:v>
      </x:c>
      <x:c r="B53" s="8" t="str">
        <x:v>TC-POST-002</x:v>
      </x:c>
      <x:c r="C53" s="8" t="str">
        <x:v>Cycle 1</x:v>
      </x:c>
      <x:c r="D53" s="8" t="str"/>
      <x:c r="E53" s="9" t="str"/>
      <x:c r="F53" s="8" t="str">
        <x:v>UAT</x:v>
      </x:c>
      <x:c r="G53" s="8" t="str">
        <x:v>Not Run</x:v>
      </x:c>
      <x:c r="H53" s="8" t="str"/>
      <x:c r="I53" s="8" t="str"/>
      <x:c r="J53" s="8" t="str"/>
      <x:c r="K53" s="8" t="str"/>
    </x:row>
    <x:row r="54" ht="30" customHeight="1">
      <x:c r="A54" s="8" t="str">
        <x:v>EXE-0053</x:v>
      </x:c>
      <x:c r="B54" s="8" t="str">
        <x:v>TC-POST-003</x:v>
      </x:c>
      <x:c r="C54" s="8" t="str">
        <x:v>Cycle 1</x:v>
      </x:c>
      <x:c r="D54" s="8" t="str"/>
      <x:c r="E54" s="9" t="str"/>
      <x:c r="F54" s="8" t="str">
        <x:v>UAT</x:v>
      </x:c>
      <x:c r="G54" s="8" t="str">
        <x:v>Not Run</x:v>
      </x:c>
      <x:c r="H54" s="8" t="str"/>
      <x:c r="I54" s="8" t="str"/>
      <x:c r="J54" s="8" t="str"/>
      <x:c r="K54" s="8" t="str"/>
    </x:row>
    <x:row r="55" ht="30" customHeight="1">
      <x:c r="A55" s="8" t="str">
        <x:v>EXE-0054</x:v>
      </x:c>
      <x:c r="B55" s="8" t="str">
        <x:v>TC-POST-004</x:v>
      </x:c>
      <x:c r="C55" s="8" t="str">
        <x:v>Cycle 1</x:v>
      </x:c>
      <x:c r="D55" s="8" t="str"/>
      <x:c r="E55" s="9" t="str"/>
      <x:c r="F55" s="8" t="str">
        <x:v>UAT</x:v>
      </x:c>
      <x:c r="G55" s="8" t="str">
        <x:v>Not Run</x:v>
      </x:c>
      <x:c r="H55" s="8" t="str"/>
      <x:c r="I55" s="8" t="str"/>
      <x:c r="J55" s="8" t="str"/>
      <x:c r="K55" s="8" t="str"/>
    </x:row>
    <x:row r="56" ht="30" customHeight="1">
      <x:c r="A56" s="8" t="str">
        <x:v>EXE-0055</x:v>
      </x:c>
      <x:c r="B56" s="8" t="str">
        <x:v>TC-POST-005</x:v>
      </x:c>
      <x:c r="C56" s="8" t="str">
        <x:v>Cycle 1</x:v>
      </x:c>
      <x:c r="D56" s="8" t="str"/>
      <x:c r="E56" s="9" t="str"/>
      <x:c r="F56" s="8" t="str">
        <x:v>UAT</x:v>
      </x:c>
      <x:c r="G56" s="8" t="str">
        <x:v>Not Run</x:v>
      </x:c>
      <x:c r="H56" s="8" t="str"/>
      <x:c r="I56" s="8" t="str"/>
      <x:c r="J56" s="8" t="str"/>
      <x:c r="K56" s="8" t="str"/>
    </x:row>
    <x:row r="57" ht="30" customHeight="1">
      <x:c r="A57" s="8" t="str">
        <x:v>EXE-0056</x:v>
      </x:c>
      <x:c r="B57" s="8" t="str">
        <x:v>TC-POST-006</x:v>
      </x:c>
      <x:c r="C57" s="8" t="str">
        <x:v>Cycle 1</x:v>
      </x:c>
      <x:c r="D57" s="8" t="str"/>
      <x:c r="E57" s="9" t="str"/>
      <x:c r="F57" s="8" t="str">
        <x:v>UAT</x:v>
      </x:c>
      <x:c r="G57" s="8" t="str">
        <x:v>Not Run</x:v>
      </x:c>
      <x:c r="H57" s="8" t="str"/>
      <x:c r="I57" s="8" t="str"/>
      <x:c r="J57" s="8" t="str"/>
      <x:c r="K57" s="8" t="str"/>
    </x:row>
    <x:row r="58" ht="30" customHeight="1">
      <x:c r="A58" s="8" t="str">
        <x:v>EXE-0057</x:v>
      </x:c>
      <x:c r="B58" s="8" t="str">
        <x:v>TC-POST-007</x:v>
      </x:c>
      <x:c r="C58" s="8" t="str">
        <x:v>Cycle 1</x:v>
      </x:c>
      <x:c r="D58" s="8" t="str"/>
      <x:c r="E58" s="9" t="str"/>
      <x:c r="F58" s="8" t="str">
        <x:v>UAT</x:v>
      </x:c>
      <x:c r="G58" s="8" t="str">
        <x:v>Not Run</x:v>
      </x:c>
      <x:c r="H58" s="8" t="str"/>
      <x:c r="I58" s="8" t="str"/>
      <x:c r="J58" s="8" t="str"/>
      <x:c r="K58" s="8" t="str"/>
    </x:row>
    <x:row r="59" ht="30" customHeight="1">
      <x:c r="A59" s="8" t="str">
        <x:v>EXE-0058</x:v>
      </x:c>
      <x:c r="B59" s="8" t="str">
        <x:v>TC-POST-008</x:v>
      </x:c>
      <x:c r="C59" s="8" t="str">
        <x:v>Cycle 1</x:v>
      </x:c>
      <x:c r="D59" s="8" t="str"/>
      <x:c r="E59" s="9" t="str"/>
      <x:c r="F59" s="8" t="str">
        <x:v>UAT</x:v>
      </x:c>
      <x:c r="G59" s="8" t="str">
        <x:v>Not Run</x:v>
      </x:c>
      <x:c r="H59" s="8" t="str"/>
      <x:c r="I59" s="8" t="str"/>
      <x:c r="J59" s="8" t="str"/>
      <x:c r="K59" s="8" t="str"/>
    </x:row>
    <x:row r="60" ht="30" customHeight="1">
      <x:c r="A60" s="8" t="str">
        <x:v>EXE-0059</x:v>
      </x:c>
      <x:c r="B60" s="8" t="str">
        <x:v>TC-POST-009</x:v>
      </x:c>
      <x:c r="C60" s="8" t="str">
        <x:v>Cycle 1</x:v>
      </x:c>
      <x:c r="D60" s="8" t="str"/>
      <x:c r="E60" s="9" t="str"/>
      <x:c r="F60" s="8" t="str">
        <x:v>UAT</x:v>
      </x:c>
      <x:c r="G60" s="8" t="str">
        <x:v>Not Run</x:v>
      </x:c>
      <x:c r="H60" s="8" t="str"/>
      <x:c r="I60" s="8" t="str"/>
      <x:c r="J60" s="8" t="str"/>
      <x:c r="K60" s="8" t="str"/>
    </x:row>
    <x:row r="61" ht="30" customHeight="1">
      <x:c r="A61" s="8" t="str">
        <x:v>EXE-0060</x:v>
      </x:c>
      <x:c r="B61" s="8" t="str">
        <x:v>TC-POST-010</x:v>
      </x:c>
      <x:c r="C61" s="8" t="str">
        <x:v>Cycle 1</x:v>
      </x:c>
      <x:c r="D61" s="8" t="str"/>
      <x:c r="E61" s="9" t="str"/>
      <x:c r="F61" s="8" t="str">
        <x:v>UAT</x:v>
      </x:c>
      <x:c r="G61" s="8" t="str">
        <x:v>Not Run</x:v>
      </x:c>
      <x:c r="H61" s="8" t="str"/>
      <x:c r="I61" s="8" t="str"/>
      <x:c r="J61" s="8" t="str"/>
      <x:c r="K61" s="8" t="str"/>
    </x:row>
    <x:row r="62" ht="30" customHeight="1">
      <x:c r="A62" s="8" t="str">
        <x:v>EXE-0061</x:v>
      </x:c>
      <x:c r="B62" s="8" t="str">
        <x:v>TC-POST-011</x:v>
      </x:c>
      <x:c r="C62" s="8" t="str">
        <x:v>Cycle 1</x:v>
      </x:c>
      <x:c r="D62" s="8" t="str"/>
      <x:c r="E62" s="9" t="str"/>
      <x:c r="F62" s="8" t="str">
        <x:v>UAT</x:v>
      </x:c>
      <x:c r="G62" s="8" t="str">
        <x:v>Not Run</x:v>
      </x:c>
      <x:c r="H62" s="8" t="str"/>
      <x:c r="I62" s="8" t="str"/>
      <x:c r="J62" s="8" t="str"/>
      <x:c r="K62" s="8" t="str"/>
    </x:row>
    <x:row r="63" ht="30" customHeight="1">
      <x:c r="A63" s="8" t="str">
        <x:v>EXE-0062</x:v>
      </x:c>
      <x:c r="B63" s="8" t="str">
        <x:v>TC-POST-012</x:v>
      </x:c>
      <x:c r="C63" s="8" t="str">
        <x:v>Cycle 1</x:v>
      </x:c>
      <x:c r="D63" s="8" t="str"/>
      <x:c r="E63" s="9" t="str"/>
      <x:c r="F63" s="8" t="str">
        <x:v>UAT</x:v>
      </x:c>
      <x:c r="G63" s="8" t="str">
        <x:v>Not Run</x:v>
      </x:c>
      <x:c r="H63" s="8" t="str"/>
      <x:c r="I63" s="8" t="str"/>
      <x:c r="J63" s="8" t="str"/>
      <x:c r="K63" s="8" t="str"/>
    </x:row>
    <x:row r="64" ht="30" customHeight="1">
      <x:c r="A64" s="8" t="str">
        <x:v>EXE-0063</x:v>
      </x:c>
      <x:c r="B64" s="8" t="str">
        <x:v>TC-CERT-001</x:v>
      </x:c>
      <x:c r="C64" s="8" t="str">
        <x:v>Cycle 1</x:v>
      </x:c>
      <x:c r="D64" s="8" t="str"/>
      <x:c r="E64" s="9" t="str"/>
      <x:c r="F64" s="8" t="str">
        <x:v>UAT</x:v>
      </x:c>
      <x:c r="G64" s="8" t="str">
        <x:v>Not Run</x:v>
      </x:c>
      <x:c r="H64" s="8" t="str"/>
      <x:c r="I64" s="8" t="str"/>
      <x:c r="J64" s="8" t="str"/>
      <x:c r="K64" s="8" t="str"/>
    </x:row>
    <x:row r="65" ht="30" customHeight="1">
      <x:c r="A65" s="8" t="str">
        <x:v>EXE-0064</x:v>
      </x:c>
      <x:c r="B65" s="8" t="str">
        <x:v>TC-CERT-002</x:v>
      </x:c>
      <x:c r="C65" s="8" t="str">
        <x:v>Cycle 1</x:v>
      </x:c>
      <x:c r="D65" s="8" t="str"/>
      <x:c r="E65" s="9" t="str"/>
      <x:c r="F65" s="8" t="str">
        <x:v>UAT</x:v>
      </x:c>
      <x:c r="G65" s="8" t="str">
        <x:v>Not Run</x:v>
      </x:c>
      <x:c r="H65" s="8" t="str"/>
      <x:c r="I65" s="8" t="str"/>
      <x:c r="J65" s="8" t="str"/>
      <x:c r="K65" s="8" t="str"/>
    </x:row>
    <x:row r="66" ht="30" customHeight="1">
      <x:c r="A66" s="8" t="str">
        <x:v>EXE-0065</x:v>
      </x:c>
      <x:c r="B66" s="8" t="str">
        <x:v>TC-CERT-003</x:v>
      </x:c>
      <x:c r="C66" s="8" t="str">
        <x:v>Cycle 1</x:v>
      </x:c>
      <x:c r="D66" s="8" t="str"/>
      <x:c r="E66" s="9" t="str"/>
      <x:c r="F66" s="8" t="str">
        <x:v>UAT</x:v>
      </x:c>
      <x:c r="G66" s="8" t="str">
        <x:v>Not Run</x:v>
      </x:c>
      <x:c r="H66" s="8" t="str"/>
      <x:c r="I66" s="8" t="str"/>
      <x:c r="J66" s="8" t="str"/>
      <x:c r="K66" s="8" t="str"/>
    </x:row>
    <x:row r="67" ht="30" customHeight="1">
      <x:c r="A67" s="8" t="str">
        <x:v>EXE-0066</x:v>
      </x:c>
      <x:c r="B67" s="8" t="str">
        <x:v>TC-CERT-004</x:v>
      </x:c>
      <x:c r="C67" s="8" t="str">
        <x:v>Cycle 1</x:v>
      </x:c>
      <x:c r="D67" s="8" t="str"/>
      <x:c r="E67" s="9" t="str"/>
      <x:c r="F67" s="8" t="str">
        <x:v>UAT</x:v>
      </x:c>
      <x:c r="G67" s="8" t="str">
        <x:v>Not Run</x:v>
      </x:c>
      <x:c r="H67" s="8" t="str"/>
      <x:c r="I67" s="8" t="str"/>
      <x:c r="J67" s="8" t="str"/>
      <x:c r="K67" s="8" t="str"/>
    </x:row>
    <x:row r="68" ht="30" customHeight="1">
      <x:c r="A68" s="8" t="str">
        <x:v>EXE-0067</x:v>
      </x:c>
      <x:c r="B68" s="8" t="str">
        <x:v>TC-CERT-005</x:v>
      </x:c>
      <x:c r="C68" s="8" t="str">
        <x:v>Cycle 1</x:v>
      </x:c>
      <x:c r="D68" s="8" t="str"/>
      <x:c r="E68" s="9" t="str"/>
      <x:c r="F68" s="8" t="str">
        <x:v>UAT</x:v>
      </x:c>
      <x:c r="G68" s="8" t="str">
        <x:v>Not Run</x:v>
      </x:c>
      <x:c r="H68" s="8" t="str"/>
      <x:c r="I68" s="8" t="str"/>
      <x:c r="J68" s="8" t="str"/>
      <x:c r="K68" s="8" t="str"/>
    </x:row>
    <x:row r="69" ht="30" customHeight="1">
      <x:c r="A69" s="8" t="str">
        <x:v>EXE-0068</x:v>
      </x:c>
      <x:c r="B69" s="8" t="str">
        <x:v>TC-CERT-006</x:v>
      </x:c>
      <x:c r="C69" s="8" t="str">
        <x:v>Cycle 1</x:v>
      </x:c>
      <x:c r="D69" s="8" t="str"/>
      <x:c r="E69" s="9" t="str"/>
      <x:c r="F69" s="8" t="str">
        <x:v>UAT</x:v>
      </x:c>
      <x:c r="G69" s="8" t="str">
        <x:v>Not Run</x:v>
      </x:c>
      <x:c r="H69" s="8" t="str"/>
      <x:c r="I69" s="8" t="str"/>
      <x:c r="J69" s="8" t="str"/>
      <x:c r="K69" s="8" t="str"/>
    </x:row>
    <x:row r="70" ht="30" customHeight="1">
      <x:c r="A70" s="8" t="str">
        <x:v>EXE-0069</x:v>
      </x:c>
      <x:c r="B70" s="8" t="str">
        <x:v>TC-CERT-007</x:v>
      </x:c>
      <x:c r="C70" s="8" t="str">
        <x:v>Cycle 1</x:v>
      </x:c>
      <x:c r="D70" s="8" t="str"/>
      <x:c r="E70" s="9" t="str"/>
      <x:c r="F70" s="8" t="str">
        <x:v>UAT</x:v>
      </x:c>
      <x:c r="G70" s="8" t="str">
        <x:v>Not Run</x:v>
      </x:c>
      <x:c r="H70" s="8" t="str"/>
      <x:c r="I70" s="8" t="str"/>
      <x:c r="J70" s="8" t="str"/>
      <x:c r="K70" s="8" t="str"/>
    </x:row>
    <x:row r="71" ht="30" customHeight="1">
      <x:c r="A71" s="8" t="str">
        <x:v>EXE-0070</x:v>
      </x:c>
      <x:c r="B71" s="8" t="str">
        <x:v>TC-CERT-008</x:v>
      </x:c>
      <x:c r="C71" s="8" t="str">
        <x:v>Cycle 1</x:v>
      </x:c>
      <x:c r="D71" s="8" t="str"/>
      <x:c r="E71" s="9" t="str"/>
      <x:c r="F71" s="8" t="str">
        <x:v>UAT</x:v>
      </x:c>
      <x:c r="G71" s="8" t="str">
        <x:v>Not Run</x:v>
      </x:c>
      <x:c r="H71" s="8" t="str"/>
      <x:c r="I71" s="8" t="str"/>
      <x:c r="J71" s="8" t="str"/>
      <x:c r="K71" s="8" t="str"/>
    </x:row>
    <x:row r="72" ht="30" customHeight="1">
      <x:c r="A72" s="8" t="str">
        <x:v>EXE-0071</x:v>
      </x:c>
      <x:c r="B72" s="8" t="str">
        <x:v>TC-CERT-009</x:v>
      </x:c>
      <x:c r="C72" s="8" t="str">
        <x:v>Cycle 1</x:v>
      </x:c>
      <x:c r="D72" s="8" t="str"/>
      <x:c r="E72" s="9" t="str"/>
      <x:c r="F72" s="8" t="str">
        <x:v>UAT</x:v>
      </x:c>
      <x:c r="G72" s="8" t="str">
        <x:v>Not Run</x:v>
      </x:c>
      <x:c r="H72" s="8" t="str"/>
      <x:c r="I72" s="8" t="str"/>
      <x:c r="J72" s="8" t="str"/>
      <x:c r="K72" s="8" t="str"/>
    </x:row>
    <x:row r="73" ht="30" customHeight="1">
      <x:c r="A73" s="8" t="str">
        <x:v>EXE-0072</x:v>
      </x:c>
      <x:c r="B73" s="8" t="str">
        <x:v>TC-CERT-010</x:v>
      </x:c>
      <x:c r="C73" s="8" t="str">
        <x:v>Cycle 1</x:v>
      </x:c>
      <x:c r="D73" s="8" t="str"/>
      <x:c r="E73" s="9" t="str"/>
      <x:c r="F73" s="8" t="str">
        <x:v>UAT</x:v>
      </x:c>
      <x:c r="G73" s="8" t="str">
        <x:v>Not Run</x:v>
      </x:c>
      <x:c r="H73" s="8" t="str"/>
      <x:c r="I73" s="8" t="str"/>
      <x:c r="J73" s="8" t="str"/>
      <x:c r="K73" s="8" t="str"/>
    </x:row>
    <x:row r="74" ht="30" customHeight="1">
      <x:c r="A74" s="8" t="str">
        <x:v>EXE-0073</x:v>
      </x:c>
      <x:c r="B74" s="8" t="str">
        <x:v>TC-TIME-001</x:v>
      </x:c>
      <x:c r="C74" s="8" t="str">
        <x:v>Cycle 1</x:v>
      </x:c>
      <x:c r="D74" s="8" t="str"/>
      <x:c r="E74" s="9" t="str"/>
      <x:c r="F74" s="8" t="str">
        <x:v>UAT</x:v>
      </x:c>
      <x:c r="G74" s="8" t="str">
        <x:v>Not Run</x:v>
      </x:c>
      <x:c r="H74" s="8" t="str"/>
      <x:c r="I74" s="8" t="str"/>
      <x:c r="J74" s="8" t="str"/>
      <x:c r="K74" s="8" t="str"/>
    </x:row>
    <x:row r="75" ht="30" customHeight="1">
      <x:c r="A75" s="8" t="str">
        <x:v>EXE-0074</x:v>
      </x:c>
      <x:c r="B75" s="8" t="str">
        <x:v>TC-TIME-002</x:v>
      </x:c>
      <x:c r="C75" s="8" t="str">
        <x:v>Cycle 1</x:v>
      </x:c>
      <x:c r="D75" s="8" t="str"/>
      <x:c r="E75" s="9" t="str"/>
      <x:c r="F75" s="8" t="str">
        <x:v>UAT</x:v>
      </x:c>
      <x:c r="G75" s="8" t="str">
        <x:v>Not Run</x:v>
      </x:c>
      <x:c r="H75" s="8" t="str"/>
      <x:c r="I75" s="8" t="str"/>
      <x:c r="J75" s="8" t="str"/>
      <x:c r="K75" s="8" t="str"/>
    </x:row>
    <x:row r="76" ht="30" customHeight="1">
      <x:c r="A76" s="8" t="str">
        <x:v>EXE-0075</x:v>
      </x:c>
      <x:c r="B76" s="8" t="str">
        <x:v>TC-TIME-003</x:v>
      </x:c>
      <x:c r="C76" s="8" t="str">
        <x:v>Cycle 1</x:v>
      </x:c>
      <x:c r="D76" s="8" t="str"/>
      <x:c r="E76" s="9" t="str"/>
      <x:c r="F76" s="8" t="str">
        <x:v>UAT</x:v>
      </x:c>
      <x:c r="G76" s="8" t="str">
        <x:v>Not Run</x:v>
      </x:c>
      <x:c r="H76" s="8" t="str"/>
      <x:c r="I76" s="8" t="str"/>
      <x:c r="J76" s="8" t="str"/>
      <x:c r="K76" s="8" t="str"/>
    </x:row>
    <x:row r="77" ht="30" customHeight="1">
      <x:c r="A77" s="8" t="str">
        <x:v>EXE-0076</x:v>
      </x:c>
      <x:c r="B77" s="8" t="str">
        <x:v>TC-TIME-004</x:v>
      </x:c>
      <x:c r="C77" s="8" t="str">
        <x:v>Cycle 1</x:v>
      </x:c>
      <x:c r="D77" s="8" t="str"/>
      <x:c r="E77" s="9" t="str"/>
      <x:c r="F77" s="8" t="str">
        <x:v>UAT</x:v>
      </x:c>
      <x:c r="G77" s="8" t="str">
        <x:v>Not Run</x:v>
      </x:c>
      <x:c r="H77" s="8" t="str"/>
      <x:c r="I77" s="8" t="str"/>
      <x:c r="J77" s="8" t="str"/>
      <x:c r="K77" s="8" t="str"/>
    </x:row>
    <x:row r="78" ht="30" customHeight="1">
      <x:c r="A78" s="8" t="str">
        <x:v>EXE-0077</x:v>
      </x:c>
      <x:c r="B78" s="8" t="str">
        <x:v>TC-TIME-005</x:v>
      </x:c>
      <x:c r="C78" s="8" t="str">
        <x:v>Cycle 1</x:v>
      </x:c>
      <x:c r="D78" s="8" t="str"/>
      <x:c r="E78" s="9" t="str"/>
      <x:c r="F78" s="8" t="str">
        <x:v>UAT</x:v>
      </x:c>
      <x:c r="G78" s="8" t="str">
        <x:v>Not Run</x:v>
      </x:c>
      <x:c r="H78" s="8" t="str"/>
      <x:c r="I78" s="8" t="str"/>
      <x:c r="J78" s="8" t="str"/>
      <x:c r="K78" s="8" t="str"/>
    </x:row>
    <x:row r="79" ht="30" customHeight="1">
      <x:c r="A79" s="8" t="str">
        <x:v>EXE-0078</x:v>
      </x:c>
      <x:c r="B79" s="8" t="str">
        <x:v>TC-TIME-006</x:v>
      </x:c>
      <x:c r="C79" s="8" t="str">
        <x:v>Cycle 1</x:v>
      </x:c>
      <x:c r="D79" s="8" t="str"/>
      <x:c r="E79" s="9" t="str"/>
      <x:c r="F79" s="8" t="str">
        <x:v>UAT</x:v>
      </x:c>
      <x:c r="G79" s="8" t="str">
        <x:v>Not Run</x:v>
      </x:c>
      <x:c r="H79" s="8" t="str"/>
      <x:c r="I79" s="8" t="str"/>
      <x:c r="J79" s="8" t="str"/>
      <x:c r="K79" s="8" t="str"/>
    </x:row>
    <x:row r="80" ht="30" customHeight="1">
      <x:c r="A80" s="8" t="str">
        <x:v>EXE-0079</x:v>
      </x:c>
      <x:c r="B80" s="8" t="str">
        <x:v>TC-TIME-007</x:v>
      </x:c>
      <x:c r="C80" s="8" t="str">
        <x:v>Cycle 1</x:v>
      </x:c>
      <x:c r="D80" s="8" t="str"/>
      <x:c r="E80" s="9" t="str"/>
      <x:c r="F80" s="8" t="str">
        <x:v>UAT</x:v>
      </x:c>
      <x:c r="G80" s="8" t="str">
        <x:v>Not Run</x:v>
      </x:c>
      <x:c r="H80" s="8" t="str"/>
      <x:c r="I80" s="8" t="str"/>
      <x:c r="J80" s="8" t="str"/>
      <x:c r="K80" s="8" t="str"/>
    </x:row>
    <x:row r="81" ht="30" customHeight="1">
      <x:c r="A81" s="8" t="str">
        <x:v>EXE-0080</x:v>
      </x:c>
      <x:c r="B81" s="8" t="str">
        <x:v>TC-TIME-008</x:v>
      </x:c>
      <x:c r="C81" s="8" t="str">
        <x:v>Cycle 1</x:v>
      </x:c>
      <x:c r="D81" s="8" t="str"/>
      <x:c r="E81" s="9" t="str"/>
      <x:c r="F81" s="8" t="str">
        <x:v>UAT</x:v>
      </x:c>
      <x:c r="G81" s="8" t="str">
        <x:v>Not Run</x:v>
      </x:c>
      <x:c r="H81" s="8" t="str"/>
      <x:c r="I81" s="8" t="str"/>
      <x:c r="J81" s="8" t="str"/>
      <x:c r="K81" s="8" t="str"/>
    </x:row>
    <x:row r="82" ht="30" customHeight="1">
      <x:c r="A82" s="8" t="str">
        <x:v>EXE-0081</x:v>
      </x:c>
      <x:c r="B82" s="8" t="str">
        <x:v>TC-TIME-009</x:v>
      </x:c>
      <x:c r="C82" s="8" t="str">
        <x:v>Cycle 1</x:v>
      </x:c>
      <x:c r="D82" s="8" t="str"/>
      <x:c r="E82" s="9" t="str"/>
      <x:c r="F82" s="8" t="str">
        <x:v>UAT</x:v>
      </x:c>
      <x:c r="G82" s="8" t="str">
        <x:v>Not Run</x:v>
      </x:c>
      <x:c r="H82" s="8" t="str"/>
      <x:c r="I82" s="8" t="str"/>
      <x:c r="J82" s="8" t="str"/>
      <x:c r="K82" s="8" t="str"/>
    </x:row>
    <x:row r="83" ht="30" customHeight="1">
      <x:c r="A83" s="8" t="str">
        <x:v>EXE-0082</x:v>
      </x:c>
      <x:c r="B83" s="8" t="str">
        <x:v>TC-TIME-010</x:v>
      </x:c>
      <x:c r="C83" s="8" t="str">
        <x:v>Cycle 1</x:v>
      </x:c>
      <x:c r="D83" s="8" t="str"/>
      <x:c r="E83" s="9" t="str"/>
      <x:c r="F83" s="8" t="str">
        <x:v>UAT</x:v>
      </x:c>
      <x:c r="G83" s="8" t="str">
        <x:v>Not Run</x:v>
      </x:c>
      <x:c r="H83" s="8" t="str"/>
      <x:c r="I83" s="8" t="str"/>
      <x:c r="J83" s="8" t="str"/>
      <x:c r="K83" s="8" t="str"/>
    </x:row>
    <x:row r="84" ht="30" customHeight="1">
      <x:c r="A84" s="8" t="str">
        <x:v>EXE-0083</x:v>
      </x:c>
      <x:c r="B84" s="8" t="str">
        <x:v>TC-TIME-011</x:v>
      </x:c>
      <x:c r="C84" s="8" t="str">
        <x:v>Cycle 1</x:v>
      </x:c>
      <x:c r="D84" s="8" t="str"/>
      <x:c r="E84" s="9" t="str"/>
      <x:c r="F84" s="8" t="str">
        <x:v>UAT</x:v>
      </x:c>
      <x:c r="G84" s="8" t="str">
        <x:v>Not Run</x:v>
      </x:c>
      <x:c r="H84" s="8" t="str"/>
      <x:c r="I84" s="8" t="str"/>
      <x:c r="J84" s="8" t="str"/>
      <x:c r="K84" s="8" t="str"/>
    </x:row>
    <x:row r="85" ht="30" customHeight="1">
      <x:c r="A85" s="8" t="str">
        <x:v>EXE-0084</x:v>
      </x:c>
      <x:c r="B85" s="8" t="str">
        <x:v>TC-TIME-012</x:v>
      </x:c>
      <x:c r="C85" s="8" t="str">
        <x:v>Cycle 1</x:v>
      </x:c>
      <x:c r="D85" s="8" t="str"/>
      <x:c r="E85" s="9" t="str"/>
      <x:c r="F85" s="8" t="str">
        <x:v>UAT</x:v>
      </x:c>
      <x:c r="G85" s="8" t="str">
        <x:v>Not Run</x:v>
      </x:c>
      <x:c r="H85" s="8" t="str"/>
      <x:c r="I85" s="8" t="str"/>
      <x:c r="J85" s="8" t="str"/>
      <x:c r="K85" s="8" t="str"/>
    </x:row>
    <x:row r="86" ht="30" customHeight="1">
      <x:c r="A86" s="8" t="str">
        <x:v>EXE-0085</x:v>
      </x:c>
      <x:c r="B86" s="8" t="str">
        <x:v>TC-ADMIN-001</x:v>
      </x:c>
      <x:c r="C86" s="8" t="str">
        <x:v>Cycle 1</x:v>
      </x:c>
      <x:c r="D86" s="8" t="str"/>
      <x:c r="E86" s="9" t="str"/>
      <x:c r="F86" s="8" t="str">
        <x:v>UAT</x:v>
      </x:c>
      <x:c r="G86" s="8" t="str">
        <x:v>Not Run</x:v>
      </x:c>
      <x:c r="H86" s="8" t="str"/>
      <x:c r="I86" s="8" t="str"/>
      <x:c r="J86" s="8" t="str"/>
      <x:c r="K86" s="8" t="str"/>
    </x:row>
    <x:row r="87" ht="30" customHeight="1">
      <x:c r="A87" s="8" t="str">
        <x:v>EXE-0086</x:v>
      </x:c>
      <x:c r="B87" s="8" t="str">
        <x:v>TC-ADMIN-002</x:v>
      </x:c>
      <x:c r="C87" s="8" t="str">
        <x:v>Cycle 1</x:v>
      </x:c>
      <x:c r="D87" s="8" t="str"/>
      <x:c r="E87" s="9" t="str"/>
      <x:c r="F87" s="8" t="str">
        <x:v>UAT</x:v>
      </x:c>
      <x:c r="G87" s="8" t="str">
        <x:v>Not Run</x:v>
      </x:c>
      <x:c r="H87" s="8" t="str"/>
      <x:c r="I87" s="8" t="str"/>
      <x:c r="J87" s="8" t="str"/>
      <x:c r="K87" s="8" t="str"/>
    </x:row>
    <x:row r="88" ht="30" customHeight="1">
      <x:c r="A88" s="8" t="str">
        <x:v>EXE-0087</x:v>
      </x:c>
      <x:c r="B88" s="8" t="str">
        <x:v>TC-ADMIN-003</x:v>
      </x:c>
      <x:c r="C88" s="8" t="str">
        <x:v>Cycle 1</x:v>
      </x:c>
      <x:c r="D88" s="8" t="str"/>
      <x:c r="E88" s="9" t="str"/>
      <x:c r="F88" s="8" t="str">
        <x:v>UAT</x:v>
      </x:c>
      <x:c r="G88" s="8" t="str">
        <x:v>Not Run</x:v>
      </x:c>
      <x:c r="H88" s="8" t="str"/>
      <x:c r="I88" s="8" t="str"/>
      <x:c r="J88" s="8" t="str"/>
      <x:c r="K88" s="8" t="str"/>
    </x:row>
    <x:row r="89" ht="30" customHeight="1">
      <x:c r="A89" s="8" t="str">
        <x:v>EXE-0088</x:v>
      </x:c>
      <x:c r="B89" s="8" t="str">
        <x:v>TC-ADMIN-004</x:v>
      </x:c>
      <x:c r="C89" s="8" t="str">
        <x:v>Cycle 1</x:v>
      </x:c>
      <x:c r="D89" s="8" t="str"/>
      <x:c r="E89" s="9" t="str"/>
      <x:c r="F89" s="8" t="str">
        <x:v>UAT</x:v>
      </x:c>
      <x:c r="G89" s="8" t="str">
        <x:v>Not Run</x:v>
      </x:c>
      <x:c r="H89" s="8" t="str"/>
      <x:c r="I89" s="8" t="str"/>
      <x:c r="J89" s="8" t="str"/>
      <x:c r="K89" s="8" t="str"/>
    </x:row>
    <x:row r="90" ht="30" customHeight="1">
      <x:c r="A90" s="8" t="str">
        <x:v>EXE-0089</x:v>
      </x:c>
      <x:c r="B90" s="8" t="str">
        <x:v>TC-ADMIN-005</x:v>
      </x:c>
      <x:c r="C90" s="8" t="str">
        <x:v>Cycle 1</x:v>
      </x:c>
      <x:c r="D90" s="8" t="str"/>
      <x:c r="E90" s="9" t="str"/>
      <x:c r="F90" s="8" t="str">
        <x:v>UAT</x:v>
      </x:c>
      <x:c r="G90" s="8" t="str">
        <x:v>Not Run</x:v>
      </x:c>
      <x:c r="H90" s="8" t="str"/>
      <x:c r="I90" s="8" t="str"/>
      <x:c r="J90" s="8" t="str"/>
      <x:c r="K90" s="8" t="str"/>
    </x:row>
    <x:row r="91" ht="30" customHeight="1">
      <x:c r="A91" s="8" t="str">
        <x:v>EXE-0090</x:v>
      </x:c>
      <x:c r="B91" s="8" t="str">
        <x:v>TC-ADMIN-006</x:v>
      </x:c>
      <x:c r="C91" s="8" t="str">
        <x:v>Cycle 1</x:v>
      </x:c>
      <x:c r="D91" s="8" t="str"/>
      <x:c r="E91" s="9" t="str"/>
      <x:c r="F91" s="8" t="str">
        <x:v>UAT</x:v>
      </x:c>
      <x:c r="G91" s="8" t="str">
        <x:v>Not Run</x:v>
      </x:c>
      <x:c r="H91" s="8" t="str"/>
      <x:c r="I91" s="8" t="str"/>
      <x:c r="J91" s="8" t="str"/>
      <x:c r="K91" s="8" t="str"/>
    </x:row>
    <x:row r="92" ht="30" customHeight="1">
      <x:c r="A92" s="8" t="str">
        <x:v>EXE-0091</x:v>
      </x:c>
      <x:c r="B92" s="8" t="str">
        <x:v>TC-ADMIN-007</x:v>
      </x:c>
      <x:c r="C92" s="8" t="str">
        <x:v>Cycle 1</x:v>
      </x:c>
      <x:c r="D92" s="8" t="str"/>
      <x:c r="E92" s="9" t="str"/>
      <x:c r="F92" s="8" t="str">
        <x:v>UAT</x:v>
      </x:c>
      <x:c r="G92" s="8" t="str">
        <x:v>Not Run</x:v>
      </x:c>
      <x:c r="H92" s="8" t="str"/>
      <x:c r="I92" s="8" t="str"/>
      <x:c r="J92" s="8" t="str"/>
      <x:c r="K92" s="8" t="str"/>
    </x:row>
    <x:row r="93" ht="30" customHeight="1">
      <x:c r="A93" s="8" t="str">
        <x:v>EXE-0092</x:v>
      </x:c>
      <x:c r="B93" s="8" t="str">
        <x:v>TC-ADMIN-008</x:v>
      </x:c>
      <x:c r="C93" s="8" t="str">
        <x:v>Cycle 1</x:v>
      </x:c>
      <x:c r="D93" s="8" t="str"/>
      <x:c r="E93" s="9" t="str"/>
      <x:c r="F93" s="8" t="str">
        <x:v>UAT</x:v>
      </x:c>
      <x:c r="G93" s="8" t="str">
        <x:v>Not Run</x:v>
      </x:c>
      <x:c r="H93" s="8" t="str"/>
      <x:c r="I93" s="8" t="str"/>
      <x:c r="J93" s="8" t="str"/>
      <x:c r="K93" s="8" t="str"/>
    </x:row>
    <x:row r="94" ht="30" customHeight="1">
      <x:c r="A94" s="8" t="str">
        <x:v>EXE-0093</x:v>
      </x:c>
      <x:c r="B94" s="8" t="str">
        <x:v>TC-ADMIN-009</x:v>
      </x:c>
      <x:c r="C94" s="8" t="str">
        <x:v>Cycle 1</x:v>
      </x:c>
      <x:c r="D94" s="8" t="str"/>
      <x:c r="E94" s="9" t="str"/>
      <x:c r="F94" s="8" t="str">
        <x:v>UAT</x:v>
      </x:c>
      <x:c r="G94" s="8" t="str">
        <x:v>Not Run</x:v>
      </x:c>
      <x:c r="H94" s="8" t="str"/>
      <x:c r="I94" s="8" t="str"/>
      <x:c r="J94" s="8" t="str"/>
      <x:c r="K94" s="8" t="str"/>
    </x:row>
    <x:row r="95" ht="30" customHeight="1">
      <x:c r="A95" s="8" t="str">
        <x:v>EXE-0094</x:v>
      </x:c>
      <x:c r="B95" s="8" t="str">
        <x:v>TC-ADMIN-010</x:v>
      </x:c>
      <x:c r="C95" s="8" t="str">
        <x:v>Cycle 1</x:v>
      </x:c>
      <x:c r="D95" s="8" t="str"/>
      <x:c r="E95" s="9" t="str"/>
      <x:c r="F95" s="8" t="str">
        <x:v>UAT</x:v>
      </x:c>
      <x:c r="G95" s="8" t="str">
        <x:v>Not Run</x:v>
      </x:c>
      <x:c r="H95" s="8" t="str"/>
      <x:c r="I95" s="8" t="str"/>
      <x:c r="J95" s="8" t="str"/>
      <x:c r="K95" s="8" t="str"/>
    </x:row>
    <x:row r="96" ht="30" customHeight="1">
      <x:c r="A96" s="8" t="str">
        <x:v>EXE-0095</x:v>
      </x:c>
      <x:c r="B96" s="8" t="str">
        <x:v>TC-ADMIN-011</x:v>
      </x:c>
      <x:c r="C96" s="8" t="str">
        <x:v>Cycle 1</x:v>
      </x:c>
      <x:c r="D96" s="8" t="str"/>
      <x:c r="E96" s="9" t="str"/>
      <x:c r="F96" s="8" t="str">
        <x:v>UAT</x:v>
      </x:c>
      <x:c r="G96" s="8" t="str">
        <x:v>Not Run</x:v>
      </x:c>
      <x:c r="H96" s="8" t="str"/>
      <x:c r="I96" s="8" t="str"/>
      <x:c r="J96" s="8" t="str"/>
      <x:c r="K96" s="8" t="str"/>
    </x:row>
    <x:row r="97" ht="30" customHeight="1">
      <x:c r="A97" s="8" t="str">
        <x:v>EXE-0096</x:v>
      </x:c>
      <x:c r="B97" s="8" t="str">
        <x:v>TC-ADMIN-012</x:v>
      </x:c>
      <x:c r="C97" s="8" t="str">
        <x:v>Cycle 1</x:v>
      </x:c>
      <x:c r="D97" s="8" t="str"/>
      <x:c r="E97" s="9" t="str"/>
      <x:c r="F97" s="8" t="str">
        <x:v>UAT</x:v>
      </x:c>
      <x:c r="G97" s="8" t="str">
        <x:v>Not Run</x:v>
      </x:c>
      <x:c r="H97" s="8" t="str"/>
      <x:c r="I97" s="8" t="str"/>
      <x:c r="J97" s="8" t="str"/>
      <x:c r="K97" s="8" t="str"/>
    </x:row>
    <x:row r="98" ht="30" customHeight="1">
      <x:c r="A98" s="8" t="str">
        <x:v>EXE-0097</x:v>
      </x:c>
      <x:c r="B98" s="8" t="str">
        <x:v>TC-ADMIN-013</x:v>
      </x:c>
      <x:c r="C98" s="8" t="str">
        <x:v>Cycle 1</x:v>
      </x:c>
      <x:c r="D98" s="8" t="str"/>
      <x:c r="E98" s="9" t="str"/>
      <x:c r="F98" s="8" t="str">
        <x:v>UAT</x:v>
      </x:c>
      <x:c r="G98" s="8" t="str">
        <x:v>Not Run</x:v>
      </x:c>
      <x:c r="H98" s="8" t="str"/>
      <x:c r="I98" s="8" t="str"/>
      <x:c r="J98" s="8" t="str"/>
      <x:c r="K98" s="8" t="str"/>
    </x:row>
    <x:row r="99" ht="30" customHeight="1">
      <x:c r="A99" s="8" t="str">
        <x:v>EXE-0098</x:v>
      </x:c>
      <x:c r="B99" s="8" t="str">
        <x:v>TC-ADMIN-014</x:v>
      </x:c>
      <x:c r="C99" s="8" t="str">
        <x:v>Cycle 1</x:v>
      </x:c>
      <x:c r="D99" s="8" t="str"/>
      <x:c r="E99" s="9" t="str"/>
      <x:c r="F99" s="8" t="str">
        <x:v>UAT</x:v>
      </x:c>
      <x:c r="G99" s="8" t="str">
        <x:v>Not Run</x:v>
      </x:c>
      <x:c r="H99" s="8" t="str"/>
      <x:c r="I99" s="8" t="str"/>
      <x:c r="J99" s="8" t="str"/>
      <x:c r="K99" s="8" t="str"/>
    </x:row>
    <x:row r="100" ht="30" customHeight="1">
      <x:c r="A100" s="8" t="str">
        <x:v>EXE-0099</x:v>
      </x:c>
      <x:c r="B100" s="8" t="str">
        <x:v>TC-ADMIN-015</x:v>
      </x:c>
      <x:c r="C100" s="8" t="str">
        <x:v>Cycle 1</x:v>
      </x:c>
      <x:c r="D100" s="8" t="str"/>
      <x:c r="E100" s="9" t="str"/>
      <x:c r="F100" s="8" t="str">
        <x:v>UAT</x:v>
      </x:c>
      <x:c r="G100" s="8" t="str">
        <x:v>Not Run</x:v>
      </x:c>
      <x:c r="H100" s="8" t="str"/>
      <x:c r="I100" s="8" t="str"/>
      <x:c r="J100" s="8" t="str"/>
      <x:c r="K100" s="8" t="str"/>
    </x:row>
    <x:row r="101" ht="30" customHeight="1">
      <x:c r="A101" s="8" t="str">
        <x:v>EXE-0100</x:v>
      </x:c>
      <x:c r="B101" s="8" t="str">
        <x:v>TC-ADMIN-016</x:v>
      </x:c>
      <x:c r="C101" s="8" t="str">
        <x:v>Cycle 1</x:v>
      </x:c>
      <x:c r="D101" s="8" t="str"/>
      <x:c r="E101" s="9" t="str"/>
      <x:c r="F101" s="8" t="str">
        <x:v>UAT</x:v>
      </x:c>
      <x:c r="G101" s="8" t="str">
        <x:v>Not Run</x:v>
      </x:c>
      <x:c r="H101" s="8" t="str"/>
      <x:c r="I101" s="8" t="str"/>
      <x:c r="J101" s="8" t="str"/>
      <x:c r="K101" s="8" t="str"/>
    </x:row>
    <x:row r="102" ht="30" customHeight="1">
      <x:c r="A102" s="8" t="str">
        <x:v>EXE-0101</x:v>
      </x:c>
      <x:c r="B102" s="8" t="str">
        <x:v>TC-ADMIN-017</x:v>
      </x:c>
      <x:c r="C102" s="8" t="str">
        <x:v>Cycle 1</x:v>
      </x:c>
      <x:c r="D102" s="8" t="str"/>
      <x:c r="E102" s="9" t="str"/>
      <x:c r="F102" s="8" t="str">
        <x:v>UAT</x:v>
      </x:c>
      <x:c r="G102" s="8" t="str">
        <x:v>Not Run</x:v>
      </x:c>
      <x:c r="H102" s="8" t="str"/>
      <x:c r="I102" s="8" t="str"/>
      <x:c r="J102" s="8" t="str"/>
      <x:c r="K102" s="8" t="str"/>
    </x:row>
    <x:row r="103" ht="30" customHeight="1">
      <x:c r="A103" s="8" t="str">
        <x:v>EXE-0102</x:v>
      </x:c>
      <x:c r="B103" s="8" t="str">
        <x:v>TC-ADMIN-018</x:v>
      </x:c>
      <x:c r="C103" s="8" t="str">
        <x:v>Cycle 1</x:v>
      </x:c>
      <x:c r="D103" s="8" t="str"/>
      <x:c r="E103" s="9" t="str"/>
      <x:c r="F103" s="8" t="str">
        <x:v>UAT</x:v>
      </x:c>
      <x:c r="G103" s="8" t="str">
        <x:v>Not Run</x:v>
      </x:c>
      <x:c r="H103" s="8" t="str"/>
      <x:c r="I103" s="8" t="str"/>
      <x:c r="J103" s="8" t="str"/>
      <x:c r="K103" s="8" t="str"/>
    </x:row>
    <x:row r="104" ht="30" customHeight="1">
      <x:c r="A104" s="8" t="str">
        <x:v>EXE-0103</x:v>
      </x:c>
      <x:c r="B104" s="8" t="str">
        <x:v>TC-TRAINER-001</x:v>
      </x:c>
      <x:c r="C104" s="8" t="str">
        <x:v>Cycle 1</x:v>
      </x:c>
      <x:c r="D104" s="8" t="str"/>
      <x:c r="E104" s="9" t="str"/>
      <x:c r="F104" s="8" t="str">
        <x:v>UAT</x:v>
      </x:c>
      <x:c r="G104" s="8" t="str">
        <x:v>Not Run</x:v>
      </x:c>
      <x:c r="H104" s="8" t="str"/>
      <x:c r="I104" s="8" t="str"/>
      <x:c r="J104" s="8" t="str"/>
      <x:c r="K104" s="8" t="str"/>
    </x:row>
    <x:row r="105" ht="30" customHeight="1">
      <x:c r="A105" s="8" t="str">
        <x:v>EXE-0104</x:v>
      </x:c>
      <x:c r="B105" s="8" t="str">
        <x:v>TC-TRAINER-002</x:v>
      </x:c>
      <x:c r="C105" s="8" t="str">
        <x:v>Cycle 1</x:v>
      </x:c>
      <x:c r="D105" s="8" t="str"/>
      <x:c r="E105" s="9" t="str"/>
      <x:c r="F105" s="8" t="str">
        <x:v>UAT</x:v>
      </x:c>
      <x:c r="G105" s="8" t="str">
        <x:v>Not Run</x:v>
      </x:c>
      <x:c r="H105" s="8" t="str"/>
      <x:c r="I105" s="8" t="str"/>
      <x:c r="J105" s="8" t="str"/>
      <x:c r="K105" s="8" t="str"/>
    </x:row>
    <x:row r="106" ht="30" customHeight="1">
      <x:c r="A106" s="8" t="str">
        <x:v>EXE-0105</x:v>
      </x:c>
      <x:c r="B106" s="8" t="str">
        <x:v>TC-TRAINER-003</x:v>
      </x:c>
      <x:c r="C106" s="8" t="str">
        <x:v>Cycle 1</x:v>
      </x:c>
      <x:c r="D106" s="8" t="str"/>
      <x:c r="E106" s="9" t="str"/>
      <x:c r="F106" s="8" t="str">
        <x:v>UAT</x:v>
      </x:c>
      <x:c r="G106" s="8" t="str">
        <x:v>Not Run</x:v>
      </x:c>
      <x:c r="H106" s="8" t="str"/>
      <x:c r="I106" s="8" t="str"/>
      <x:c r="J106" s="8" t="str"/>
      <x:c r="K106" s="8" t="str"/>
    </x:row>
    <x:row r="107" ht="30" customHeight="1">
      <x:c r="A107" s="8" t="str">
        <x:v>EXE-0106</x:v>
      </x:c>
      <x:c r="B107" s="8" t="str">
        <x:v>TC-TRAINER-004</x:v>
      </x:c>
      <x:c r="C107" s="8" t="str">
        <x:v>Cycle 1</x:v>
      </x:c>
      <x:c r="D107" s="8" t="str"/>
      <x:c r="E107" s="9" t="str"/>
      <x:c r="F107" s="8" t="str">
        <x:v>UAT</x:v>
      </x:c>
      <x:c r="G107" s="8" t="str">
        <x:v>Not Run</x:v>
      </x:c>
      <x:c r="H107" s="8" t="str"/>
      <x:c r="I107" s="8" t="str"/>
      <x:c r="J107" s="8" t="str"/>
      <x:c r="K107" s="8" t="str"/>
    </x:row>
    <x:row r="108" ht="30" customHeight="1">
      <x:c r="A108" s="8" t="str">
        <x:v>EXE-0107</x:v>
      </x:c>
      <x:c r="B108" s="8" t="str">
        <x:v>TC-TRAINER-005</x:v>
      </x:c>
      <x:c r="C108" s="8" t="str">
        <x:v>Cycle 1</x:v>
      </x:c>
      <x:c r="D108" s="8" t="str"/>
      <x:c r="E108" s="9" t="str"/>
      <x:c r="F108" s="8" t="str">
        <x:v>UAT</x:v>
      </x:c>
      <x:c r="G108" s="8" t="str">
        <x:v>Not Run</x:v>
      </x:c>
      <x:c r="H108" s="8" t="str"/>
      <x:c r="I108" s="8" t="str"/>
      <x:c r="J108" s="8" t="str"/>
      <x:c r="K108" s="8" t="str"/>
    </x:row>
    <x:row r="109" ht="30" customHeight="1">
      <x:c r="A109" s="8" t="str">
        <x:v>EXE-0108</x:v>
      </x:c>
      <x:c r="B109" s="8" t="str">
        <x:v>TC-TRAINER-006</x:v>
      </x:c>
      <x:c r="C109" s="8" t="str">
        <x:v>Cycle 1</x:v>
      </x:c>
      <x:c r="D109" s="8" t="str"/>
      <x:c r="E109" s="9" t="str"/>
      <x:c r="F109" s="8" t="str">
        <x:v>UAT</x:v>
      </x:c>
      <x:c r="G109" s="8" t="str">
        <x:v>Not Run</x:v>
      </x:c>
      <x:c r="H109" s="8" t="str"/>
      <x:c r="I109" s="8" t="str"/>
      <x:c r="J109" s="8" t="str"/>
      <x:c r="K109" s="8" t="str"/>
    </x:row>
    <x:row r="110" ht="30" customHeight="1">
      <x:c r="A110" s="8" t="str">
        <x:v>EXE-0109</x:v>
      </x:c>
      <x:c r="B110" s="8" t="str">
        <x:v>TC-TRAINER-007</x:v>
      </x:c>
      <x:c r="C110" s="8" t="str">
        <x:v>Cycle 1</x:v>
      </x:c>
      <x:c r="D110" s="8" t="str"/>
      <x:c r="E110" s="9" t="str"/>
      <x:c r="F110" s="8" t="str">
        <x:v>UAT</x:v>
      </x:c>
      <x:c r="G110" s="8" t="str">
        <x:v>Not Run</x:v>
      </x:c>
      <x:c r="H110" s="8" t="str"/>
      <x:c r="I110" s="8" t="str"/>
      <x:c r="J110" s="8" t="str"/>
      <x:c r="K110" s="8" t="str"/>
    </x:row>
    <x:row r="111" ht="30" customHeight="1">
      <x:c r="A111" s="8" t="str">
        <x:v>EXE-0110</x:v>
      </x:c>
      <x:c r="B111" s="8" t="str">
        <x:v>TC-TRAINER-008</x:v>
      </x:c>
      <x:c r="C111" s="8" t="str">
        <x:v>Cycle 1</x:v>
      </x:c>
      <x:c r="D111" s="8" t="str"/>
      <x:c r="E111" s="9" t="str"/>
      <x:c r="F111" s="8" t="str">
        <x:v>UAT</x:v>
      </x:c>
      <x:c r="G111" s="8" t="str">
        <x:v>Not Run</x:v>
      </x:c>
      <x:c r="H111" s="8" t="str"/>
      <x:c r="I111" s="8" t="str"/>
      <x:c r="J111" s="8" t="str"/>
      <x:c r="K111" s="8" t="str"/>
    </x:row>
    <x:row r="112" ht="30" customHeight="1">
      <x:c r="A112" s="8" t="str">
        <x:v>EXE-0111</x:v>
      </x:c>
      <x:c r="B112" s="8" t="str">
        <x:v>TC-TRAINER-009</x:v>
      </x:c>
      <x:c r="C112" s="8" t="str">
        <x:v>Cycle 1</x:v>
      </x:c>
      <x:c r="D112" s="8" t="str"/>
      <x:c r="E112" s="9" t="str"/>
      <x:c r="F112" s="8" t="str">
        <x:v>UAT</x:v>
      </x:c>
      <x:c r="G112" s="8" t="str">
        <x:v>Not Run</x:v>
      </x:c>
      <x:c r="H112" s="8" t="str"/>
      <x:c r="I112" s="8" t="str"/>
      <x:c r="J112" s="8" t="str"/>
      <x:c r="K112" s="8" t="str"/>
    </x:row>
    <x:row r="113" ht="30" customHeight="1">
      <x:c r="A113" s="8" t="str">
        <x:v>EXE-0112</x:v>
      </x:c>
      <x:c r="B113" s="8" t="str">
        <x:v>TC-TRAINER-010</x:v>
      </x:c>
      <x:c r="C113" s="8" t="str">
        <x:v>Cycle 1</x:v>
      </x:c>
      <x:c r="D113" s="8" t="str"/>
      <x:c r="E113" s="9" t="str"/>
      <x:c r="F113" s="8" t="str">
        <x:v>UAT</x:v>
      </x:c>
      <x:c r="G113" s="8" t="str">
        <x:v>Not Run</x:v>
      </x:c>
      <x:c r="H113" s="8" t="str"/>
      <x:c r="I113" s="8" t="str"/>
      <x:c r="J113" s="8" t="str"/>
      <x:c r="K113" s="8" t="str"/>
    </x:row>
    <x:row r="114" ht="30" customHeight="1">
      <x:c r="A114" s="8" t="str">
        <x:v>EXE-0113</x:v>
      </x:c>
      <x:c r="B114" s="8" t="str">
        <x:v>TC-TRAINER-011</x:v>
      </x:c>
      <x:c r="C114" s="8" t="str">
        <x:v>Cycle 1</x:v>
      </x:c>
      <x:c r="D114" s="8" t="str"/>
      <x:c r="E114" s="9" t="str"/>
      <x:c r="F114" s="8" t="str">
        <x:v>UAT</x:v>
      </x:c>
      <x:c r="G114" s="8" t="str">
        <x:v>Not Run</x:v>
      </x:c>
      <x:c r="H114" s="8" t="str"/>
      <x:c r="I114" s="8" t="str"/>
      <x:c r="J114" s="8" t="str"/>
      <x:c r="K114" s="8" t="str"/>
    </x:row>
    <x:row r="115" ht="30" customHeight="1">
      <x:c r="A115" s="8" t="str">
        <x:v>EXE-0114</x:v>
      </x:c>
      <x:c r="B115" s="8" t="str">
        <x:v>TC-TRAINER-012</x:v>
      </x:c>
      <x:c r="C115" s="8" t="str">
        <x:v>Cycle 1</x:v>
      </x:c>
      <x:c r="D115" s="8" t="str"/>
      <x:c r="E115" s="9" t="str"/>
      <x:c r="F115" s="8" t="str">
        <x:v>UAT</x:v>
      </x:c>
      <x:c r="G115" s="8" t="str">
        <x:v>Not Run</x:v>
      </x:c>
      <x:c r="H115" s="8" t="str"/>
      <x:c r="I115" s="8" t="str"/>
      <x:c r="J115" s="8" t="str"/>
      <x:c r="K115" s="8" t="str"/>
    </x:row>
    <x:row r="116" ht="30" customHeight="1">
      <x:c r="A116" s="8" t="str">
        <x:v>EXE-0115</x:v>
      </x:c>
      <x:c r="B116" s="8" t="str">
        <x:v>TC-TRAINER-013</x:v>
      </x:c>
      <x:c r="C116" s="8" t="str">
        <x:v>Cycle 1</x:v>
      </x:c>
      <x:c r="D116" s="8" t="str"/>
      <x:c r="E116" s="9" t="str"/>
      <x:c r="F116" s="8" t="str">
        <x:v>UAT</x:v>
      </x:c>
      <x:c r="G116" s="8" t="str">
        <x:v>Not Run</x:v>
      </x:c>
      <x:c r="H116" s="8" t="str"/>
      <x:c r="I116" s="8" t="str"/>
      <x:c r="J116" s="8" t="str"/>
      <x:c r="K116" s="8" t="str"/>
    </x:row>
    <x:row r="117" ht="30" customHeight="1">
      <x:c r="A117" s="8" t="str">
        <x:v>EXE-0116</x:v>
      </x:c>
      <x:c r="B117" s="8" t="str">
        <x:v>TC-TRAINER-014</x:v>
      </x:c>
      <x:c r="C117" s="8" t="str">
        <x:v>Cycle 1</x:v>
      </x:c>
      <x:c r="D117" s="8" t="str"/>
      <x:c r="E117" s="9" t="str"/>
      <x:c r="F117" s="8" t="str">
        <x:v>UAT</x:v>
      </x:c>
      <x:c r="G117" s="8" t="str">
        <x:v>Not Run</x:v>
      </x:c>
      <x:c r="H117" s="8" t="str"/>
      <x:c r="I117" s="8" t="str"/>
      <x:c r="J117" s="8" t="str"/>
      <x:c r="K117" s="8" t="str"/>
    </x:row>
    <x:row r="118" ht="30" customHeight="1">
      <x:c r="A118" s="8" t="str">
        <x:v>EXE-0117</x:v>
      </x:c>
      <x:c r="B118" s="8" t="str">
        <x:v>TC-TRAINER-015</x:v>
      </x:c>
      <x:c r="C118" s="8" t="str">
        <x:v>Cycle 1</x:v>
      </x:c>
      <x:c r="D118" s="8" t="str"/>
      <x:c r="E118" s="9" t="str"/>
      <x:c r="F118" s="8" t="str">
        <x:v>UAT</x:v>
      </x:c>
      <x:c r="G118" s="8" t="str">
        <x:v>Not Run</x:v>
      </x:c>
      <x:c r="H118" s="8" t="str"/>
      <x:c r="I118" s="8" t="str"/>
      <x:c r="J118" s="8" t="str"/>
      <x:c r="K118" s="8" t="str"/>
    </x:row>
    <x:row r="119" ht="30" customHeight="1">
      <x:c r="A119" s="8" t="str">
        <x:v>EXE-0118</x:v>
      </x:c>
      <x:c r="B119" s="8" t="str">
        <x:v>TC-TRAINER-016</x:v>
      </x:c>
      <x:c r="C119" s="8" t="str">
        <x:v>Cycle 1</x:v>
      </x:c>
      <x:c r="D119" s="8" t="str"/>
      <x:c r="E119" s="9" t="str"/>
      <x:c r="F119" s="8" t="str">
        <x:v>UAT</x:v>
      </x:c>
      <x:c r="G119" s="8" t="str">
        <x:v>Not Run</x:v>
      </x:c>
      <x:c r="H119" s="8" t="str"/>
      <x:c r="I119" s="8" t="str"/>
      <x:c r="J119" s="8" t="str"/>
      <x:c r="K119" s="8" t="str"/>
    </x:row>
    <x:row r="120" ht="30" customHeight="1">
      <x:c r="A120" s="8" t="str">
        <x:v>EXE-0119</x:v>
      </x:c>
      <x:c r="B120" s="8" t="str">
        <x:v>TC-TRAINER-017</x:v>
      </x:c>
      <x:c r="C120" s="8" t="str">
        <x:v>Cycle 1</x:v>
      </x:c>
      <x:c r="D120" s="8" t="str"/>
      <x:c r="E120" s="9" t="str"/>
      <x:c r="F120" s="8" t="str">
        <x:v>UAT</x:v>
      </x:c>
      <x:c r="G120" s="8" t="str">
        <x:v>Not Run</x:v>
      </x:c>
      <x:c r="H120" s="8" t="str"/>
      <x:c r="I120" s="8" t="str"/>
      <x:c r="J120" s="8" t="str"/>
      <x:c r="K120" s="8" t="str"/>
    </x:row>
    <x:row r="121" ht="30" customHeight="1">
      <x:c r="A121" s="8" t="str">
        <x:v>EXE-0120</x:v>
      </x:c>
      <x:c r="B121" s="8" t="str">
        <x:v>TC-TRAINER-018</x:v>
      </x:c>
      <x:c r="C121" s="8" t="str">
        <x:v>Cycle 1</x:v>
      </x:c>
      <x:c r="D121" s="8" t="str"/>
      <x:c r="E121" s="9" t="str"/>
      <x:c r="F121" s="8" t="str">
        <x:v>UAT</x:v>
      </x:c>
      <x:c r="G121" s="8" t="str">
        <x:v>Not Run</x:v>
      </x:c>
      <x:c r="H121" s="8" t="str"/>
      <x:c r="I121" s="8" t="str"/>
      <x:c r="J121" s="8" t="str"/>
      <x:c r="K121" s="8" t="str"/>
    </x:row>
    <x:row r="122" ht="30" customHeight="1">
      <x:c r="A122" s="8" t="str">
        <x:v>EXE-0121</x:v>
      </x:c>
      <x:c r="B122" s="8" t="str">
        <x:v>TC-TRAINER-019</x:v>
      </x:c>
      <x:c r="C122" s="8" t="str">
        <x:v>Cycle 1</x:v>
      </x:c>
      <x:c r="D122" s="8" t="str"/>
      <x:c r="E122" s="9" t="str"/>
      <x:c r="F122" s="8" t="str">
        <x:v>UAT</x:v>
      </x:c>
      <x:c r="G122" s="8" t="str">
        <x:v>Not Run</x:v>
      </x:c>
      <x:c r="H122" s="8" t="str"/>
      <x:c r="I122" s="8" t="str"/>
      <x:c r="J122" s="8" t="str"/>
      <x:c r="K122" s="8" t="str"/>
    </x:row>
    <x:row r="123" ht="30" customHeight="1">
      <x:c r="A123" s="8" t="str">
        <x:v>EXE-0122</x:v>
      </x:c>
      <x:c r="B123" s="8" t="str">
        <x:v>TC-TRAINER-020</x:v>
      </x:c>
      <x:c r="C123" s="8" t="str">
        <x:v>Cycle 1</x:v>
      </x:c>
      <x:c r="D123" s="8" t="str"/>
      <x:c r="E123" s="9" t="str"/>
      <x:c r="F123" s="8" t="str">
        <x:v>UAT</x:v>
      </x:c>
      <x:c r="G123" s="8" t="str">
        <x:v>Not Run</x:v>
      </x:c>
      <x:c r="H123" s="8" t="str"/>
      <x:c r="I123" s="8" t="str"/>
      <x:c r="J123" s="8" t="str"/>
      <x:c r="K123" s="8" t="str"/>
    </x:row>
    <x:row r="124" ht="30" customHeight="1">
      <x:c r="A124" s="8" t="str">
        <x:v>EXE-0123</x:v>
      </x:c>
      <x:c r="B124" s="8" t="str">
        <x:v>TC-TRAINER-021</x:v>
      </x:c>
      <x:c r="C124" s="8" t="str">
        <x:v>Cycle 1</x:v>
      </x:c>
      <x:c r="D124" s="8" t="str"/>
      <x:c r="E124" s="9" t="str"/>
      <x:c r="F124" s="8" t="str">
        <x:v>UAT</x:v>
      </x:c>
      <x:c r="G124" s="8" t="str">
        <x:v>Not Run</x:v>
      </x:c>
      <x:c r="H124" s="8" t="str"/>
      <x:c r="I124" s="8" t="str"/>
      <x:c r="J124" s="8" t="str"/>
      <x:c r="K124" s="8" t="str"/>
    </x:row>
    <x:row r="125" ht="30" customHeight="1">
      <x:c r="A125" s="8" t="str">
        <x:v>EXE-0124</x:v>
      </x:c>
      <x:c r="B125" s="8" t="str">
        <x:v>TC-TRAINER-022</x:v>
      </x:c>
      <x:c r="C125" s="8" t="str">
        <x:v>Cycle 1</x:v>
      </x:c>
      <x:c r="D125" s="8" t="str"/>
      <x:c r="E125" s="9" t="str"/>
      <x:c r="F125" s="8" t="str">
        <x:v>UAT</x:v>
      </x:c>
      <x:c r="G125" s="8" t="str">
        <x:v>Not Run</x:v>
      </x:c>
      <x:c r="H125" s="8" t="str"/>
      <x:c r="I125" s="8" t="str"/>
      <x:c r="J125" s="8" t="str"/>
      <x:c r="K125" s="8" t="str"/>
    </x:row>
    <x:row r="126" ht="30" customHeight="1">
      <x:c r="A126" s="8" t="str">
        <x:v>EXE-0125</x:v>
      </x:c>
      <x:c r="B126" s="8" t="str">
        <x:v>TC-QUALITY-001</x:v>
      </x:c>
      <x:c r="C126" s="8" t="str">
        <x:v>Cycle 1</x:v>
      </x:c>
      <x:c r="D126" s="8" t="str"/>
      <x:c r="E126" s="9" t="str"/>
      <x:c r="F126" s="8" t="str">
        <x:v>UAT</x:v>
      </x:c>
      <x:c r="G126" s="8" t="str">
        <x:v>Not Run</x:v>
      </x:c>
      <x:c r="H126" s="8" t="str"/>
      <x:c r="I126" s="8" t="str"/>
      <x:c r="J126" s="8" t="str"/>
      <x:c r="K126" s="8" t="str"/>
    </x:row>
    <x:row r="127" ht="30" customHeight="1">
      <x:c r="A127" s="8" t="str">
        <x:v>EXE-0126</x:v>
      </x:c>
      <x:c r="B127" s="8" t="str">
        <x:v>TC-QUALITY-002</x:v>
      </x:c>
      <x:c r="C127" s="8" t="str">
        <x:v>Cycle 1</x:v>
      </x:c>
      <x:c r="D127" s="8" t="str"/>
      <x:c r="E127" s="9" t="str"/>
      <x:c r="F127" s="8" t="str">
        <x:v>UAT</x:v>
      </x:c>
      <x:c r="G127" s="8" t="str">
        <x:v>Not Run</x:v>
      </x:c>
      <x:c r="H127" s="8" t="str"/>
      <x:c r="I127" s="8" t="str"/>
      <x:c r="J127" s="8" t="str"/>
      <x:c r="K127" s="8" t="str"/>
    </x:row>
    <x:row r="128" ht="30" customHeight="1">
      <x:c r="A128" s="8" t="str">
        <x:v>EXE-0127</x:v>
      </x:c>
      <x:c r="B128" s="8" t="str">
        <x:v>TC-QUALITY-003</x:v>
      </x:c>
      <x:c r="C128" s="8" t="str">
        <x:v>Cycle 1</x:v>
      </x:c>
      <x:c r="D128" s="8" t="str"/>
      <x:c r="E128" s="9" t="str"/>
      <x:c r="F128" s="8" t="str">
        <x:v>UAT</x:v>
      </x:c>
      <x:c r="G128" s="8" t="str">
        <x:v>Not Run</x:v>
      </x:c>
      <x:c r="H128" s="8" t="str"/>
      <x:c r="I128" s="8" t="str"/>
      <x:c r="J128" s="8" t="str"/>
      <x:c r="K128" s="8" t="str"/>
    </x:row>
    <x:row r="129" ht="30" customHeight="1">
      <x:c r="A129" s="8" t="str">
        <x:v>EXE-0128</x:v>
      </x:c>
      <x:c r="B129" s="8" t="str">
        <x:v>TC-QUALITY-004</x:v>
      </x:c>
      <x:c r="C129" s="8" t="str">
        <x:v>Cycle 1</x:v>
      </x:c>
      <x:c r="D129" s="8" t="str"/>
      <x:c r="E129" s="9" t="str"/>
      <x:c r="F129" s="8" t="str">
        <x:v>UAT</x:v>
      </x:c>
      <x:c r="G129" s="8" t="str">
        <x:v>Not Run</x:v>
      </x:c>
      <x:c r="H129" s="8" t="str"/>
      <x:c r="I129" s="8" t="str"/>
      <x:c r="J129" s="8" t="str"/>
      <x:c r="K129" s="8" t="str"/>
    </x:row>
    <x:row r="130" ht="30" customHeight="1">
      <x:c r="A130" s="8" t="str">
        <x:v>EXE-0129</x:v>
      </x:c>
      <x:c r="B130" s="8" t="str">
        <x:v>TC-QUALITY-005</x:v>
      </x:c>
      <x:c r="C130" s="8" t="str">
        <x:v>Cycle 1</x:v>
      </x:c>
      <x:c r="D130" s="8" t="str"/>
      <x:c r="E130" s="9" t="str"/>
      <x:c r="F130" s="8" t="str">
        <x:v>UAT</x:v>
      </x:c>
      <x:c r="G130" s="8" t="str">
        <x:v>Not Run</x:v>
      </x:c>
      <x:c r="H130" s="8" t="str"/>
      <x:c r="I130" s="8" t="str"/>
      <x:c r="J130" s="8" t="str"/>
      <x:c r="K130" s="8" t="str"/>
    </x:row>
    <x:row r="131" ht="30" customHeight="1">
      <x:c r="A131" s="8" t="str">
        <x:v>EXE-0130</x:v>
      </x:c>
      <x:c r="B131" s="8" t="str">
        <x:v>TC-QUALITY-006</x:v>
      </x:c>
      <x:c r="C131" s="8" t="str">
        <x:v>Cycle 1</x:v>
      </x:c>
      <x:c r="D131" s="8" t="str"/>
      <x:c r="E131" s="9" t="str"/>
      <x:c r="F131" s="8" t="str">
        <x:v>UAT</x:v>
      </x:c>
      <x:c r="G131" s="8" t="str">
        <x:v>Not Run</x:v>
      </x:c>
      <x:c r="H131" s="8" t="str"/>
      <x:c r="I131" s="8" t="str"/>
      <x:c r="J131" s="8" t="str"/>
      <x:c r="K131" s="8" t="str"/>
    </x:row>
    <x:row r="132" ht="30" customHeight="1">
      <x:c r="A132" s="8" t="str">
        <x:v>EXE-0131</x:v>
      </x:c>
      <x:c r="B132" s="8" t="str">
        <x:v>TC-QUALITY-007</x:v>
      </x:c>
      <x:c r="C132" s="8" t="str">
        <x:v>Cycle 1</x:v>
      </x:c>
      <x:c r="D132" s="8" t="str"/>
      <x:c r="E132" s="9" t="str"/>
      <x:c r="F132" s="8" t="str">
        <x:v>UAT</x:v>
      </x:c>
      <x:c r="G132" s="8" t="str">
        <x:v>Not Run</x:v>
      </x:c>
      <x:c r="H132" s="8" t="str"/>
      <x:c r="I132" s="8" t="str"/>
      <x:c r="J132" s="8" t="str"/>
      <x:c r="K132" s="8" t="str"/>
    </x:row>
    <x:row r="133" ht="30" customHeight="1">
      <x:c r="A133" s="8" t="str">
        <x:v>EXE-0132</x:v>
      </x:c>
      <x:c r="B133" s="8" t="str">
        <x:v>TC-QUALITY-008</x:v>
      </x:c>
      <x:c r="C133" s="8" t="str">
        <x:v>Cycle 1</x:v>
      </x:c>
      <x:c r="D133" s="8" t="str"/>
      <x:c r="E133" s="9" t="str"/>
      <x:c r="F133" s="8" t="str">
        <x:v>UAT</x:v>
      </x:c>
      <x:c r="G133" s="8" t="str">
        <x:v>Not Run</x:v>
      </x:c>
      <x:c r="H133" s="8" t="str"/>
      <x:c r="I133" s="8" t="str"/>
      <x:c r="J133" s="8" t="str"/>
      <x:c r="K133" s="8" t="str"/>
    </x:row>
  </x:sheetData>
  <x:conditionalFormatting sqref="G2:G133">
    <x:cfRule type="containsText" dxfId="4" priority="1" operator="containsText" text="Pass"/>
    <x:cfRule type="containsText" dxfId="5" priority="2" operator="containsText" text="Fail"/>
  </x:conditionalFormatting>
  <x:dataValidations count="1">
    <x:dataValidation type="list" sqref="G2:G133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3b09f2b0f648a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2" hidden="0" customWidth="1"/>
    <x:col min="5" max="5" width="32" hidden="0" customWidth="1"/>
    <x:col min="6" max="6" width="38" hidden="0" customWidth="1"/>
    <x:col min="7" max="7" width="34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8" hidden="0" customWidth="1"/>
    <x:col min="15" max="15" width="24" hidden="0" customWidth="1"/>
  </x:cols>
  <x:sheetData>
    <x:row r="1" ht="32" customHeight="1">
      <x:c r="A1" s="7" t="str">
        <x:v>Defect ID</x:v>
      </x:c>
      <x:c r="B1" s="7" t="str">
        <x:v>Linked Test Case(s)</x:v>
      </x:c>
      <x:c r="C1" s="7" t="str">
        <x:v>Module</x:v>
      </x:c>
      <x:c r="D1" s="7" t="str">
        <x:v>Severity</x:v>
      </x:c>
      <x:c r="E1" s="7" t="str">
        <x:v>Summary</x:v>
      </x:c>
      <x:c r="F1" s="7" t="str">
        <x:v>Steps to Reproduce</x:v>
      </x:c>
      <x:c r="G1" s="7" t="str">
        <x:v>Expected Result</x:v>
      </x:c>
      <x:c r="H1" s="7" t="str">
        <x:v>Actual Result</x:v>
      </x:c>
      <x:c r="I1" s="7" t="str">
        <x:v>Environment</x:v>
      </x:c>
      <x:c r="J1" s="7" t="str">
        <x:v>Status</x:v>
      </x:c>
      <x:c r="K1" s="7" t="str">
        <x:v>Owner</x:v>
      </x:c>
      <x:c r="L1" s="7" t="str">
        <x:v>Created Date</x:v>
      </x:c>
      <x:c r="M1" s="7" t="str">
        <x:v>Fixed Date</x:v>
      </x:c>
      <x:c r="N1" s="7" t="str">
        <x:v>Retest Result</x:v>
      </x:c>
      <x:c r="O1" s="7" t="str">
        <x:v>Notes</x:v>
      </x:c>
    </x:row>
    <x:row r="2" ht="32" customHeight="1">
      <x:c r="A2" s="8" t="str">
        <x:v>BUG-001</x:v>
      </x:c>
      <x:c r="B2" s="8" t="str"/>
      <x:c r="C2" s="8" t="str"/>
      <x:c r="D2" s="8" t="str">
        <x:v>Medium</x:v>
      </x:c>
      <x:c r="E2" s="8" t="str"/>
      <x:c r="F2" s="8" t="str"/>
      <x:c r="G2" s="8" t="str"/>
      <x:c r="H2" s="8" t="str"/>
      <x:c r="I2" s="8" t="str">
        <x:v>UAT</x:v>
      </x:c>
      <x:c r="J2" s="8" t="str">
        <x:v>Open</x:v>
      </x:c>
      <x:c r="K2" s="8" t="str"/>
      <x:c r="L2" s="9" t="str"/>
      <x:c r="M2" s="9" t="str"/>
      <x:c r="N2" s="8" t="str"/>
      <x:c r="O2" s="8" t="str"/>
    </x:row>
    <x:row r="3" ht="32" customHeight="1">
      <x:c r="A3" s="8" t="str">
        <x:v>BUG-002</x:v>
      </x:c>
      <x:c r="B3" s="8" t="str"/>
      <x:c r="C3" s="8" t="str"/>
      <x:c r="D3" s="8" t="str">
        <x:v>Medium</x:v>
      </x:c>
      <x:c r="E3" s="8" t="str"/>
      <x:c r="F3" s="8" t="str"/>
      <x:c r="G3" s="8" t="str"/>
      <x:c r="H3" s="8" t="str"/>
      <x:c r="I3" s="8" t="str">
        <x:v>UAT</x:v>
      </x:c>
      <x:c r="J3" s="8" t="str">
        <x:v>Open</x:v>
      </x:c>
      <x:c r="K3" s="8" t="str"/>
      <x:c r="L3" s="9" t="str"/>
      <x:c r="M3" s="9" t="str"/>
      <x:c r="N3" s="8" t="str"/>
      <x:c r="O3" s="8" t="str"/>
    </x:row>
    <x:row r="4" ht="32" customHeight="1">
      <x:c r="A4" s="8" t="str">
        <x:v>BUG-003</x:v>
      </x:c>
      <x:c r="B4" s="8" t="str"/>
      <x:c r="C4" s="8" t="str"/>
      <x:c r="D4" s="8" t="str">
        <x:v>Medium</x:v>
      </x:c>
      <x:c r="E4" s="8" t="str"/>
      <x:c r="F4" s="8" t="str"/>
      <x:c r="G4" s="8" t="str"/>
      <x:c r="H4" s="8" t="str"/>
      <x:c r="I4" s="8" t="str">
        <x:v>UAT</x:v>
      </x:c>
      <x:c r="J4" s="8" t="str">
        <x:v>Open</x:v>
      </x:c>
      <x:c r="K4" s="8" t="str"/>
      <x:c r="L4" s="9" t="str"/>
      <x:c r="M4" s="9" t="str"/>
      <x:c r="N4" s="8" t="str"/>
      <x:c r="O4" s="8" t="str"/>
    </x:row>
    <x:row r="5" ht="32" customHeight="1">
      <x:c r="A5" s="8" t="str">
        <x:v>BUG-004</x:v>
      </x:c>
      <x:c r="B5" s="8" t="str"/>
      <x:c r="C5" s="8" t="str"/>
      <x:c r="D5" s="8" t="str">
        <x:v>Medium</x:v>
      </x:c>
      <x:c r="E5" s="8" t="str"/>
      <x:c r="F5" s="8" t="str"/>
      <x:c r="G5" s="8" t="str"/>
      <x:c r="H5" s="8" t="str"/>
      <x:c r="I5" s="8" t="str">
        <x:v>UAT</x:v>
      </x:c>
      <x:c r="J5" s="8" t="str">
        <x:v>Open</x:v>
      </x:c>
      <x:c r="K5" s="8" t="str"/>
      <x:c r="L5" s="9" t="str"/>
      <x:c r="M5" s="9" t="str"/>
      <x:c r="N5" s="8" t="str"/>
      <x:c r="O5" s="8" t="str"/>
    </x:row>
    <x:row r="6" ht="32" customHeight="1">
      <x:c r="A6" s="8" t="str">
        <x:v>BUG-005</x:v>
      </x:c>
      <x:c r="B6" s="8" t="str"/>
      <x:c r="C6" s="8" t="str"/>
      <x:c r="D6" s="8" t="str">
        <x:v>Medium</x:v>
      </x:c>
      <x:c r="E6" s="8" t="str"/>
      <x:c r="F6" s="8" t="str"/>
      <x:c r="G6" s="8" t="str"/>
      <x:c r="H6" s="8" t="str"/>
      <x:c r="I6" s="8" t="str">
        <x:v>UAT</x:v>
      </x:c>
      <x:c r="J6" s="8" t="str">
        <x:v>Open</x:v>
      </x:c>
      <x:c r="K6" s="8" t="str"/>
      <x:c r="L6" s="9" t="str"/>
      <x:c r="M6" s="9" t="str"/>
      <x:c r="N6" s="8" t="str"/>
      <x:c r="O6" s="8" t="str"/>
    </x:row>
    <x:row r="7" ht="32" customHeight="1">
      <x:c r="A7" s="8" t="str">
        <x:v>BUG-006</x:v>
      </x:c>
      <x:c r="B7" s="8" t="str"/>
      <x:c r="C7" s="8" t="str"/>
      <x:c r="D7" s="8" t="str">
        <x:v>Medium</x:v>
      </x:c>
      <x:c r="E7" s="8" t="str"/>
      <x:c r="F7" s="8" t="str"/>
      <x:c r="G7" s="8" t="str"/>
      <x:c r="H7" s="8" t="str"/>
      <x:c r="I7" s="8" t="str">
        <x:v>UAT</x:v>
      </x:c>
      <x:c r="J7" s="8" t="str">
        <x:v>Open</x:v>
      </x:c>
      <x:c r="K7" s="8" t="str"/>
      <x:c r="L7" s="9" t="str"/>
      <x:c r="M7" s="9" t="str"/>
      <x:c r="N7" s="8" t="str"/>
      <x:c r="O7" s="8" t="str"/>
    </x:row>
    <x:row r="8" ht="32" customHeight="1">
      <x:c r="A8" s="8" t="str">
        <x:v>BUG-007</x:v>
      </x:c>
      <x:c r="B8" s="8" t="str"/>
      <x:c r="C8" s="8" t="str"/>
      <x:c r="D8" s="8" t="str">
        <x:v>Medium</x:v>
      </x:c>
      <x:c r="E8" s="8" t="str"/>
      <x:c r="F8" s="8" t="str"/>
      <x:c r="G8" s="8" t="str"/>
      <x:c r="H8" s="8" t="str"/>
      <x:c r="I8" s="8" t="str">
        <x:v>UAT</x:v>
      </x:c>
      <x:c r="J8" s="8" t="str">
        <x:v>Open</x:v>
      </x:c>
      <x:c r="K8" s="8" t="str"/>
      <x:c r="L8" s="9" t="str"/>
      <x:c r="M8" s="9" t="str"/>
      <x:c r="N8" s="8" t="str"/>
      <x:c r="O8" s="8" t="str"/>
    </x:row>
    <x:row r="9" ht="32" customHeight="1">
      <x:c r="A9" s="8" t="str">
        <x:v>BUG-008</x:v>
      </x:c>
      <x:c r="B9" s="8" t="str"/>
      <x:c r="C9" s="8" t="str"/>
      <x:c r="D9" s="8" t="str">
        <x:v>Medium</x:v>
      </x:c>
      <x:c r="E9" s="8" t="str"/>
      <x:c r="F9" s="8" t="str"/>
      <x:c r="G9" s="8" t="str"/>
      <x:c r="H9" s="8" t="str"/>
      <x:c r="I9" s="8" t="str">
        <x:v>UAT</x:v>
      </x:c>
      <x:c r="J9" s="8" t="str">
        <x:v>Open</x:v>
      </x:c>
      <x:c r="K9" s="8" t="str"/>
      <x:c r="L9" s="9" t="str"/>
      <x:c r="M9" s="9" t="str"/>
      <x:c r="N9" s="8" t="str"/>
      <x:c r="O9" s="8" t="str"/>
    </x:row>
    <x:row r="10" ht="32" customHeight="1">
      <x:c r="A10" s="8" t="str">
        <x:v>BUG-009</x:v>
      </x:c>
      <x:c r="B10" s="8" t="str"/>
      <x:c r="C10" s="8" t="str"/>
      <x:c r="D10" s="8" t="str">
        <x:v>Medium</x:v>
      </x:c>
      <x:c r="E10" s="8" t="str"/>
      <x:c r="F10" s="8" t="str"/>
      <x:c r="G10" s="8" t="str"/>
      <x:c r="H10" s="8" t="str"/>
      <x:c r="I10" s="8" t="str">
        <x:v>UAT</x:v>
      </x:c>
      <x:c r="J10" s="8" t="str">
        <x:v>Open</x:v>
      </x:c>
      <x:c r="K10" s="8" t="str"/>
      <x:c r="L10" s="9" t="str"/>
      <x:c r="M10" s="9" t="str"/>
      <x:c r="N10" s="8" t="str"/>
      <x:c r="O10" s="8" t="str"/>
    </x:row>
    <x:row r="11" ht="32" customHeight="1">
      <x:c r="A11" s="8" t="str">
        <x:v>BUG-010</x:v>
      </x:c>
      <x:c r="B11" s="8" t="str"/>
      <x:c r="C11" s="8" t="str"/>
      <x:c r="D11" s="8" t="str">
        <x:v>Medium</x:v>
      </x:c>
      <x:c r="E11" s="8" t="str"/>
      <x:c r="F11" s="8" t="str"/>
      <x:c r="G11" s="8" t="str"/>
      <x:c r="H11" s="8" t="str"/>
      <x:c r="I11" s="8" t="str">
        <x:v>UAT</x:v>
      </x:c>
      <x:c r="J11" s="8" t="str">
        <x:v>Open</x:v>
      </x:c>
      <x:c r="K11" s="8" t="str"/>
      <x:c r="L11" s="9" t="str"/>
      <x:c r="M11" s="9" t="str"/>
      <x:c r="N11" s="8" t="str"/>
      <x:c r="O11" s="8" t="str"/>
    </x:row>
    <x:row r="12" ht="32" customHeight="1">
      <x:c r="A12" s="8" t="str">
        <x:v>BUG-011</x:v>
      </x:c>
      <x:c r="B12" s="8" t="str"/>
      <x:c r="C12" s="8" t="str"/>
      <x:c r="D12" s="8" t="str">
        <x:v>Medium</x:v>
      </x:c>
      <x:c r="E12" s="8" t="str"/>
      <x:c r="F12" s="8" t="str"/>
      <x:c r="G12" s="8" t="str"/>
      <x:c r="H12" s="8" t="str"/>
      <x:c r="I12" s="8" t="str">
        <x:v>UAT</x:v>
      </x:c>
      <x:c r="J12" s="8" t="str">
        <x:v>Open</x:v>
      </x:c>
      <x:c r="K12" s="8" t="str"/>
      <x:c r="L12" s="9" t="str"/>
      <x:c r="M12" s="9" t="str"/>
      <x:c r="N12" s="8" t="str"/>
      <x:c r="O12" s="8" t="str"/>
    </x:row>
    <x:row r="13" ht="32" customHeight="1">
      <x:c r="A13" s="8" t="str">
        <x:v>BUG-012</x:v>
      </x:c>
      <x:c r="B13" s="8" t="str"/>
      <x:c r="C13" s="8" t="str"/>
      <x:c r="D13" s="8" t="str">
        <x:v>Medium</x:v>
      </x:c>
      <x:c r="E13" s="8" t="str"/>
      <x:c r="F13" s="8" t="str"/>
      <x:c r="G13" s="8" t="str"/>
      <x:c r="H13" s="8" t="str"/>
      <x:c r="I13" s="8" t="str">
        <x:v>UAT</x:v>
      </x:c>
      <x:c r="J13" s="8" t="str">
        <x:v>Open</x:v>
      </x:c>
      <x:c r="K13" s="8" t="str"/>
      <x:c r="L13" s="9" t="str"/>
      <x:c r="M13" s="9" t="str"/>
      <x:c r="N13" s="8" t="str"/>
      <x:c r="O13" s="8" t="str"/>
    </x:row>
    <x:row r="14" ht="32" customHeight="1">
      <x:c r="A14" s="8" t="str">
        <x:v>BUG-013</x:v>
      </x:c>
      <x:c r="B14" s="8" t="str"/>
      <x:c r="C14" s="8" t="str"/>
      <x:c r="D14" s="8" t="str">
        <x:v>Medium</x:v>
      </x:c>
      <x:c r="E14" s="8" t="str"/>
      <x:c r="F14" s="8" t="str"/>
      <x:c r="G14" s="8" t="str"/>
      <x:c r="H14" s="8" t="str"/>
      <x:c r="I14" s="8" t="str">
        <x:v>UAT</x:v>
      </x:c>
      <x:c r="J14" s="8" t="str">
        <x:v>Open</x:v>
      </x:c>
      <x:c r="K14" s="8" t="str"/>
      <x:c r="L14" s="9" t="str"/>
      <x:c r="M14" s="9" t="str"/>
      <x:c r="N14" s="8" t="str"/>
      <x:c r="O14" s="8" t="str"/>
    </x:row>
    <x:row r="15" ht="32" customHeight="1">
      <x:c r="A15" s="8" t="str">
        <x:v>BUG-014</x:v>
      </x:c>
      <x:c r="B15" s="8" t="str"/>
      <x:c r="C15" s="8" t="str"/>
      <x:c r="D15" s="8" t="str">
        <x:v>Medium</x:v>
      </x:c>
      <x:c r="E15" s="8" t="str"/>
      <x:c r="F15" s="8" t="str"/>
      <x:c r="G15" s="8" t="str"/>
      <x:c r="H15" s="8" t="str"/>
      <x:c r="I15" s="8" t="str">
        <x:v>UAT</x:v>
      </x:c>
      <x:c r="J15" s="8" t="str">
        <x:v>Open</x:v>
      </x:c>
      <x:c r="K15" s="8" t="str"/>
      <x:c r="L15" s="9" t="str"/>
      <x:c r="M15" s="9" t="str"/>
      <x:c r="N15" s="8" t="str"/>
      <x:c r="O15" s="8" t="str"/>
    </x:row>
    <x:row r="16" ht="32" customHeight="1">
      <x:c r="A16" s="8" t="str">
        <x:v>BUG-015</x:v>
      </x:c>
      <x:c r="B16" s="8" t="str"/>
      <x:c r="C16" s="8" t="str"/>
      <x:c r="D16" s="8" t="str">
        <x:v>Medium</x:v>
      </x:c>
      <x:c r="E16" s="8" t="str"/>
      <x:c r="F16" s="8" t="str"/>
      <x:c r="G16" s="8" t="str"/>
      <x:c r="H16" s="8" t="str"/>
      <x:c r="I16" s="8" t="str">
        <x:v>UAT</x:v>
      </x:c>
      <x:c r="J16" s="8" t="str">
        <x:v>Open</x:v>
      </x:c>
      <x:c r="K16" s="8" t="str"/>
      <x:c r="L16" s="9" t="str"/>
      <x:c r="M16" s="9" t="str"/>
      <x:c r="N16" s="8" t="str"/>
      <x:c r="O16" s="8" t="str"/>
    </x:row>
    <x:row r="17" ht="32" customHeight="1">
      <x:c r="A17" s="8" t="str">
        <x:v>BUG-016</x:v>
      </x:c>
      <x:c r="B17" s="8" t="str"/>
      <x:c r="C17" s="8" t="str"/>
      <x:c r="D17" s="8" t="str">
        <x:v>Medium</x:v>
      </x:c>
      <x:c r="E17" s="8" t="str"/>
      <x:c r="F17" s="8" t="str"/>
      <x:c r="G17" s="8" t="str"/>
      <x:c r="H17" s="8" t="str"/>
      <x:c r="I17" s="8" t="str">
        <x:v>UAT</x:v>
      </x:c>
      <x:c r="J17" s="8" t="str">
        <x:v>Open</x:v>
      </x:c>
      <x:c r="K17" s="8" t="str"/>
      <x:c r="L17" s="9" t="str"/>
      <x:c r="M17" s="9" t="str"/>
      <x:c r="N17" s="8" t="str"/>
      <x:c r="O17" s="8" t="str"/>
    </x:row>
    <x:row r="18" ht="32" customHeight="1">
      <x:c r="A18" s="8" t="str">
        <x:v>BUG-017</x:v>
      </x:c>
      <x:c r="B18" s="8" t="str"/>
      <x:c r="C18" s="8" t="str"/>
      <x:c r="D18" s="8" t="str">
        <x:v>Medium</x:v>
      </x:c>
      <x:c r="E18" s="8" t="str"/>
      <x:c r="F18" s="8" t="str"/>
      <x:c r="G18" s="8" t="str"/>
      <x:c r="H18" s="8" t="str"/>
      <x:c r="I18" s="8" t="str">
        <x:v>UAT</x:v>
      </x:c>
      <x:c r="J18" s="8" t="str">
        <x:v>Open</x:v>
      </x:c>
      <x:c r="K18" s="8" t="str"/>
      <x:c r="L18" s="9" t="str"/>
      <x:c r="M18" s="9" t="str"/>
      <x:c r="N18" s="8" t="str"/>
      <x:c r="O18" s="8" t="str"/>
    </x:row>
    <x:row r="19" ht="32" customHeight="1">
      <x:c r="A19" s="8" t="str">
        <x:v>BUG-018</x:v>
      </x:c>
      <x:c r="B19" s="8" t="str"/>
      <x:c r="C19" s="8" t="str"/>
      <x:c r="D19" s="8" t="str">
        <x:v>Medium</x:v>
      </x:c>
      <x:c r="E19" s="8" t="str"/>
      <x:c r="F19" s="8" t="str"/>
      <x:c r="G19" s="8" t="str"/>
      <x:c r="H19" s="8" t="str"/>
      <x:c r="I19" s="8" t="str">
        <x:v>UAT</x:v>
      </x:c>
      <x:c r="J19" s="8" t="str">
        <x:v>Open</x:v>
      </x:c>
      <x:c r="K19" s="8" t="str"/>
      <x:c r="L19" s="9" t="str"/>
      <x:c r="M19" s="9" t="str"/>
      <x:c r="N19" s="8" t="str"/>
      <x:c r="O19" s="8" t="str"/>
    </x:row>
    <x:row r="20" ht="32" customHeight="1">
      <x:c r="A20" s="8" t="str">
        <x:v>BUG-019</x:v>
      </x:c>
      <x:c r="B20" s="8" t="str"/>
      <x:c r="C20" s="8" t="str"/>
      <x:c r="D20" s="8" t="str">
        <x:v>Medium</x:v>
      </x:c>
      <x:c r="E20" s="8" t="str"/>
      <x:c r="F20" s="8" t="str"/>
      <x:c r="G20" s="8" t="str"/>
      <x:c r="H20" s="8" t="str"/>
      <x:c r="I20" s="8" t="str">
        <x:v>UAT</x:v>
      </x:c>
      <x:c r="J20" s="8" t="str">
        <x:v>Open</x:v>
      </x:c>
      <x:c r="K20" s="8" t="str"/>
      <x:c r="L20" s="9" t="str"/>
      <x:c r="M20" s="9" t="str"/>
      <x:c r="N20" s="8" t="str"/>
      <x:c r="O20" s="8" t="str"/>
    </x:row>
    <x:row r="21" ht="32" customHeight="1">
      <x:c r="A21" s="8" t="str">
        <x:v>BUG-020</x:v>
      </x:c>
      <x:c r="B21" s="8" t="str"/>
      <x:c r="C21" s="8" t="str"/>
      <x:c r="D21" s="8" t="str">
        <x:v>Medium</x:v>
      </x:c>
      <x:c r="E21" s="8" t="str"/>
      <x:c r="F21" s="8" t="str"/>
      <x:c r="G21" s="8" t="str"/>
      <x:c r="H21" s="8" t="str"/>
      <x:c r="I21" s="8" t="str">
        <x:v>UAT</x:v>
      </x:c>
      <x:c r="J21" s="8" t="str">
        <x:v>Open</x:v>
      </x:c>
      <x:c r="K21" s="8" t="str"/>
      <x:c r="L21" s="9" t="str"/>
      <x:c r="M21" s="9" t="str"/>
      <x:c r="N21" s="8" t="str"/>
      <x:c r="O21" s="8" t="str"/>
    </x:row>
  </x:sheetData>
  <x:conditionalFormatting sqref="D2:D21">
    <x:cfRule type="containsText" dxfId="6" priority="1" operator="containsText" text="Critical"/>
  </x:conditionalFormatting>
  <x:conditionalFormatting sqref="J2:J21">
    <x:cfRule type="containsText" dxfId="7" priority="2" operator="containsText" text="Open"/>
  </x:conditionalFormatting>
  <x:dataValidations count="2">
    <x:dataValidation type="list" sqref="D2:D21">
      <x:formula1>"Critical,High,Medium,Low"</x:formula1>
    </x:dataValidation>
    <x:dataValidation type="list" sqref="J2:J21">
      <x:formula1>"Open,In Progress,Ready for Retest,Closed,Rejected"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86a9e1a23e48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18" t="str">
        <x:v>Item</x:v>
      </x:c>
      <x:c r="B1" s="18" t="str">
        <x:v>Description</x:v>
      </x:c>
    </x:row>
    <x:row r="2" ht="42" customHeight="1">
      <x:c r="A2" s="11" t="str">
        <x:v>Workbook</x:v>
      </x:c>
      <x:c r="B2" s="11" t="str">
        <x:v>Test Case Uji Fungsi LMS</x:v>
      </x:c>
    </x:row>
    <x:row r="3" ht="42" customHeight="1">
      <x:c r="A3" s="11" t="str">
        <x:v>Purpose</x:v>
      </x:c>
      <x:c r="B3" s="11" t="str">
        <x:v>Test case lengkap berdasarkan dokumen uji fungsi Umum, Admin, dan Pemateri, ditambah boundary, security, recovery, dan cross-cutting checks yang diperlukan agar siap dipakai untuk UAT.</x:v>
      </x:c>
    </x:row>
    <x:row r="4" ht="42" customHeight="1">
      <x:c r="A4" s="11" t="str">
        <x:v>Scope</x:v>
      </x:c>
      <x:c r="B4" s="11" t="str">
        <x:v>Authentication, authorization, catalog/course access, enrollment, learning activities, quiz, assignment, Post-Test/reset, certificate, time limit/expiry, Admin, Pemateri, dan quality checks.</x:v>
      </x:c>
    </x:row>
    <x:row r="5" ht="42" customHeight="1">
      <x:c r="A5" s="11" t="str">
        <x:v>How to use</x:v>
      </x:c>
      <x:c r="B5" s="11" t="str">
        <x:v>Mulai dari Summary. Jalankan test case pada Test Cases. Isi Status, Tester, Execution Date, Actual Result, Evidence, dan Defect ID. Gunakan Execution Log untuk siklus uji berulang.</x:v>
      </x:c>
    </x:row>
    <x:row r="6" ht="42" customHeight="1">
      <x:c r="A6" s="11" t="str">
        <x:v>Important assumptions</x:v>
      </x:c>
      <x:c r="B6" s="11" t="str">
        <x:v>Nama role, tier akses, ekstensi file, batas ukuran, nilai kelulusan, masa aktif, zona waktu, dan aturan reset harus disesuaikan dengan requirement resmi sebelum eksekusi.</x:v>
      </x:c>
    </x:row>
    <x:row r="7" ht="42" customHeight="1">
      <x:c r="A7" s="11" t="str">
        <x:v>Status values</x:v>
      </x:c>
      <x:c r="B7" s="11" t="str">
        <x:v>Not Run, Pass, Fail, Blocked, Not Applicable</x:v>
      </x:c>
    </x:row>
    <x:row r="8" ht="42" customHeight="1">
      <x:c r="A8" s="11" t="str">
        <x:v>Priority</x:v>
      </x:c>
      <x:c r="B8" s="11" t="str">
        <x:v>Critical = berpotensi memblokir rilis atau menyangkut akses/data/kelulusan; High = alur utama; Medium = fungsi pendukung; Low = minor.</x:v>
      </x:c>
    </x:row>
    <x:row r="9" ht="42" customHeight="1">
      <x:c r="A9" s="11" t="str">
        <x:v>Source documents</x:v>
      </x:c>
      <x:c r="B9" s="11" t="str">
        <x:v>261005-Skenario Ujifungsi.docx; 261005-Skenario Ujifungsi Admin.docx; 261005-Skenario Ujifungsi Pemateri.docx</x:v>
      </x:c>
    </x:row>
    <x:row r="10" ht="42" customHeight="1">
      <x:c r="A10" s="11" t="str">
        <x:v>Traceability note</x:v>
      </x:c>
      <x:c r="B10" s="11" t="str">
        <x:v>Traceability menunjukkan cakupan requirement dan test case. Coverage ‘Covered’ berarti test case telah dibuat, bukan berarti telah lulus.</x:v>
      </x:c>
    </x:row>
    <x:row r="11" ht="42" customHeight="1">
      <x:c r="A11" s="11" t="str">
        <x:v>Open decisions before UAT</x:v>
      </x:c>
      <x:c r="B11" s="11" t="str">
        <x:v>Tetapkan role versus subscription tier; aturan reset dan retensi riwayat; daftar format file; batas ukuran inklusif/tidak; pass threshold; timezone; notification channel; publication lifecycle; dan metrik keberhasilan.</x:v>
      </x:c>
    </x:row>
  </x:sheetData>
  <x:pageMargins left="0.7" right="0.7" top="0.75" bottom="0.75" header="0.3" footer="0.3"/>
</x:worksheet>
</file>